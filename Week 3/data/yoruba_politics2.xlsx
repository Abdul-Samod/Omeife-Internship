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m7MfrA4ICvkb/In5hsSKIXG8YJtXg+5OBnN7kbwNDv0="/>
    </ext>
  </extLst>
</workbook>
</file>

<file path=xl/sharedStrings.xml><?xml version="1.0" encoding="utf-8"?>
<sst xmlns="http://schemas.openxmlformats.org/spreadsheetml/2006/main" count="2374" uniqueCount="2027">
  <si>
    <t>text</t>
  </si>
  <si>
    <t xml:space="preserve">                                   Translation</t>
  </si>
  <si>
    <t>Láti ọdún tó kọjá ni ọ̀rọ̀ owó orí tuntun náà ti ń fa awuyewuye láàárín àwọn èèkàn ìlú pàápàá láti ẹkùn àríwá Nàìjíríà.</t>
  </si>
  <si>
    <t>Since last year, the issue of the new tax has been causing controversy among citizens, especially from the northern region of Nigeria.</t>
  </si>
  <si>
    <t>Ṣáájú ni ilé aṣòfin àpapọ̀ ti buwọ́lu àbá owó orí náà lẹ́yìn ìfaǹfà tó wáyé láàárín àwọn aṣòfin ìgbìmọ̀ tó ń rí sí ọ̀rọ̀ ìlànà owó orí náà.</t>
  </si>
  <si>
    <t>Earlier, the National Assembly had passed the tax proposal after debates among the lawmakers in the committee responsible for tax policy.</t>
  </si>
  <si>
    <t>Kódà àwọn gómìnà kan tako ìgbésẹ̀ ìlànà owó orí tuntun yìí ṣùgbọ́n lẹ́yìn ọ̀pọ̀lọpọ̀ ìpàdé pẹ̀lú ìgbìmọ̀ owó orí tuntun náà, wọ́n padà faramọ́ ìgbésẹ̀ náà.</t>
  </si>
  <si>
    <t>In fact, some governors opposed the new tax policy, but after numerous meetings with the new tax committee, they eventually accepted it.”</t>
  </si>
  <si>
    <t>Nínú àtẹ̀jáde kan tí ìgbìmọ̀ tó ń rí sí ọ̀rọ̀ owó orí náà fi léde lọ́jọ́bọ̀, wọ́n ní ìlànà tuntun yìí yóò jẹ́ kí gbogbo àwọn tó lẹ́tọ̀ọ́ láti máa san owó láti máa san owó wọn ní ìlànà tó tọ́.</t>
  </si>
  <si>
    <t>In a statement released by the tax committee on Tuesday, they said the new policy would ensure that everyone who is eligible to pay tax does so in the proper way.</t>
  </si>
  <si>
    <t>Bákan náà ni agbẹnusọ Bola Tinubu, Bayo Onanuga nínú àtẹ̀jáde tó fi sórí ìkànnì X rẹ̀ ṣàlàyé pé ìgbésẹ̀ tuntun yìí yóò mú àdínkù bá sísan owó orí lọ́nà púpọ̀ fún èèyàn kan àti pé yóò mú ìlànà òwò ṣíṣe rọrùn sí i.</t>
  </si>
  <si>
    <t>Similarly, Bola Tinubu’s spokesperson, Bayo Onanuga, explained in a statement on his X account that this new policy would greatly reduce the burden of tax payment for individuals and make business operations easier</t>
  </si>
  <si>
    <t>Ṣáájú àsìkò yìí, ó tó ìdá méje táwọn èèyàn tí wọn kò gbà tó N300,000 lọ́dún ń san gẹ́gẹ́ bí owó orí.</t>
  </si>
  <si>
    <t>Before now, about 70% of people who earned less than ₦300,000 annually were paying tax</t>
  </si>
  <si>
    <t>‎Gomina Ademola Adeleke ti figbe ta pe ijọba apapọ ati banki apapọ ilẹ wa ti fẹ fi ọgbọn san owo awọn ijọba ibilẹ ọgbọn to wa nipinlẹ Osun si apo awọn oloselu aladani kan.</t>
  </si>
  <si>
    <t>Governor Ademola Adeleke cried out, accusing the federal government and the central bank of trying to cleverly divert the funds meant for the thirty local governments in Osun State into the pockets of certain private politicians</t>
  </si>
  <si>
    <t>Bakan naa ni gomina Adeleke, ninu atẹjade ti Kọmisana fun ọrọ ijọba ibilẹ ati oye jijẹ, Dosu Babatunde fisita, wa n naka aleebu si banki apapọ ilẹ wa ati ọọfisi olusiro owo agba nilẹ yii .</t>
  </si>
  <si>
    <t>Similarly, Governor Adeleke, in a statement issued by the Commissioner for Local Government and Chieftaincy Affairs, Dosu Babatunde, expressed strong criticism against the Central Bank of Nigeria and the office of the Accountant General of the Federation.</t>
  </si>
  <si>
    <t>Ẹsun ti ijọba Osun fi kan ileesẹ mejeeji naa ni pe apo asunwọn awọn alaga ibilẹ labẹ ijọba gomina Oyetola to kogba wọle ni wọn fẹ dọgbọn san owo to tọ sawọn ijọba ibilẹ nipinlẹ Osun si.</t>
  </si>
  <si>
    <t>The allegation made by the Osun State government against the two institutions is that the savings account of the local government chairmen under former Governor Oyetola’s administration is being used as a means to divert funds that rightfully belong to the local governments in Osun State.</t>
  </si>
  <si>
    <t>Ariwisi yii lo mu ki ikọ iroyin BBC Yoruba morile ilu Osogbo lati se iwadii awuyewuye naa, ti a si kan si Kọmisana fun ọrọ ijọba ipinlẹ lori awuyewuye naa Nigba to n ba BBC Yoruba sọrọ, Dosu Babatunde salaye pe ile ẹjọ kotẹmilọrun ti fi ọwọ osi juwe ile fun awọn alaga ijọba Ibilẹ ti gomina ana, Gboyega Oyetola yan sipo, lati ọjọ Kẹwa osu Keji ọdun 2025 yii.</t>
  </si>
  <si>
    <t>This controversy prompted the BBC Yoruba news team to visit Osogbo to investigate the matter, where they contacted the State Commissioner for Local Government Affairs. Speaking with BBC Yoruba, Dosu Babatunde explained that the Court of Appeal had invalidated the tenure of the local government chairmen appointed by former Governor Gboyega Oyetola, effective from February 10, 2025.</t>
  </si>
  <si>
    <t>‎"A wa n kilọ fun banki apapọ apapọ ilẹ wa, CBN, lati mọ dan iru asise naa wo rara, pe ki wọn san owo ijọba si àsùnwọ̀n awọn ti wọn jẹ gaba si kansu bayii.</t>
  </si>
  <si>
    <t>We are warning the Central Bank of Nigeria (CBN) not to make such a mistake at all, and to ensure that government funds are paid into the accounts of the current legally recognized council leaders</t>
  </si>
  <si>
    <t>‎Ile ẹjọ kotẹmilọrun si ti gbe idajọ miran jade ni ọjọ Kẹtala osu Kẹfa ọdun yii wi pe, ẹgbẹ oselu APC ko ni anfani lati tun bẹrẹ ẹjọ́ ti ile ẹjọ kotẹmilọrun ti kọkọ danu tẹlẹ mọ rara labẹ ofin.</t>
  </si>
  <si>
    <t>On June 13 this year, the Court of Appeal also delivered another ruling, stating that the APC political party has no legal right to reopen a case that the court had already dismissed</t>
  </si>
  <si>
    <t>Adewale Ẹgbẹdun naa ti kilọ fun awọn alakoso banki apapọ ilẹ wa lati maṣe ko owo to tọ sijọba ibilẹ Osun fun awọn alaga Kansu tẹlẹ to ni wọn jẹ gaba si ofiisi ijọba ibilẹ bayii.</t>
  </si>
  <si>
    <t>Adewale Egbedun also warned officials of the Central Bank of Nigeria not to divert the funds meant for Osun local governments to the former council chairmen, who are no longer the legally recognized heads of the local government offices</t>
  </si>
  <si>
    <t>‎"Ninu ipinnu ti awa ọmọ ile igbimọ aṣofin ni Osun ṣe ni ọjọ Kọkandinlogun osu Kẹfa ọdun 2025, ti Olori ile si ka jade nibi ijọko ile, ni a ti bu ẹnu atẹ lu igbesẹ naa.</t>
  </si>
  <si>
    <t>A koro oju si bi awọn alaga ti ajọ eleto idibo ijọba ibilẹ nipinlẹ Ọṣun bura fun lọdun 2022, ṣugbọn ti idajọ ile ẹjọ kotẹmilọrun ti le kuro nibẹ, ṣe tun n lọ kaakiri bayii, ti wọn n pe ara wọn ni alaga kansu.</t>
  </si>
  <si>
    <t>Attention was also drawn to the fact that the local government chairmen sworn in by the Osun State Independent Electoral Commission in 2022 — but later removed by a Court of Appeal judgment — are still parading themselves as council chairmen</t>
  </si>
  <si>
    <t>‎Awọn aṣofin Osun si ti kede pe awọn alaga atawọn kasilọ ti awọn araalu dibo yan lọjọ kejilelogun oṣu keji ọdun yii nikan ni wọn jẹ ojulowo alaga labẹ ipin kinni, abala keje iwe ofin ọdun 1999.</t>
  </si>
  <si>
    <t>The Osun lawmakers also declared that only the council chairmen and councillors elected by the people on February 22, 2025, are the legitimate office holders under Section 7(1) of the 1999 Constitution</t>
  </si>
  <si>
    <t>‎Tori eyi, ofuutu-fẹẹtẹ lasan ni ariwo ti awọn alaga idibo ọjọ kẹẹdogun oṣu kẹwa ọdun 2022 n pa kaakiri pe ile ẹjọ kotẹmilọrun da awọn pada, ko lẹsẹ nilẹ, bẹẹ ni ko ridi joko labẹ ofin." Egbedun fikun pe yiyan ẹnikẹni lati maa ṣakoso awọn ijọba ibilẹ lodi si ofin.</t>
  </si>
  <si>
    <t>For this reason, the noise being made by those elected on October 15, 2022, that the Court of Appeal has reinstated them, is baseless, has no foundation, and carries no legal weight. Egbedun added that appointing anyone to manage the local governments is against the law</t>
  </si>
  <si>
    <t>Ile igbimọ aṣofin yii si bu ẹnu atẹ lu igbesẹ ti banki apapọ ilẹ wa fẹẹ gbe lati san owo ijọba ibilẹ si asunwọn awọn ti wọn n pe ara wọn ni alaga ati kasilọ lẹyin ti ile ẹjọ ti yọ wọn.</t>
  </si>
  <si>
    <t>The House of Assembly also strongly criticized the move by the Central Bank of Nigeria to pay local government funds into the accounts of those still parading themselves as chairmen and councillors after the court had already removed them.</t>
  </si>
  <si>
    <t>‎O tẹsiwaju pe awọn oludari fun eto iṣuna ati ti akoso nikan ni wọn lẹtọọ labẹ ofin lati bu ọwọ lu sọwedowo to jẹ tijọba ibilẹ nibamu pẹlu abala kẹrinla akọsilẹ ilana iṣakoso ijọba ibilẹ l'Ọṣun.</t>
  </si>
  <si>
    <t>“It further stated that only the directors of finance and administration are legally authorized to sign checks belonging to the local governments, in line with Section 14 of the Local Government Administration Guidelines in Osun</t>
  </si>
  <si>
    <t>‎"Ohun to n ṣẹlẹ nipinlẹ Ọṣun bayii jẹ ẹdun ọkan fun wa, a si n pe oluṣiro owo agba lorileede yii ati kọmiṣanna fun eto iṣuna lati tete yọnda owo to jẹ ti awọn ijọba ibilẹ l'Ọsun kiakia.'' ‎Awọn aṣofin naa waa ṣeleri lati lo ilana ofin lati fiya jẹ ẹnikẹni to ba ṣe lodi si awọn ipinnu wọn yii eleyii to wa labẹ ilana ofin lati daabo bo iṣejọba lẹsẹkuku.</t>
  </si>
  <si>
    <t>What is happening in Osun State now is a matter of deep concern to us, and we are calling on the Accountant General of the Federation and the Minister of Finance to immediately release the funds belonging to the local governments in Osun. The lawmakers also pledged to use the law to hold accountable anyone who acts against their resolutions, as provided by law to protect grassroots governance</t>
  </si>
  <si>
    <t>‎Ọna lati gbọ ti ẹnu igun keji, tii se ẹgbẹ oselu APC ti wọn fi ẹsun kan ninu isẹlẹ yii, lo gbe BBC Yoruba de ọdọ agbenusọ ẹgbẹ oṣelu APC ipinlẹ ọsun, Kola Olabisi.</t>
  </si>
  <si>
    <t>“To hear from the other side, namely the APC political party accused in this matter, BBC Yoruba reached out to the spokesperson of the Osun State APC, Kola Olabisi</t>
  </si>
  <si>
    <t>‎Nigba to n ba BBC Yoruba sọrọ, Kola Olabisi, ni idajọ ile ẹjọ kotẹmilọrun to da awọn alaga ijọba Ibilẹ ati kasilọ pada ni ọjọ Kẹwa osu Keji ọdun yii si wa sibẹ.</t>
  </si>
  <si>
    <t>Speaking with BBC Yoruba, Kola Olabisi said that the Court of Appeal judgment which reinstated the local government chairmen and councillors on February 10 this year still stands</t>
  </si>
  <si>
    <t>‎Olabisi, fi kun ọrọ rẹ wi pe, ko si idajọ ile ẹjọ kankan to fagile idibo ijọba ibilẹ to waye losu Kẹwa Ọdun 2022, ṣe làwọn agbejoro ẹgbẹ oṣelu PDP mọ-on mọ n ṣi awọn ara ilu lọna ni.‎Olabisi, fi kun ọrọ rẹ wi pe, ko si idajọ ile ẹjọ kankan to fagile idibo ijọba ibilẹ to waye losu Kẹwa Ọdun 2022, ṣe làwọn agbejoro ẹgbẹ oṣelu PDP mọ-on mọ n ṣi awọn ara ilu lọna ni.</t>
  </si>
  <si>
    <t>Olabisi added that there has been no court judgment annulling the local government elections held in October 2022, claiming that PDP lawyers are deliberately misleading the public.”</t>
  </si>
  <si>
    <t>‎Olabisi, wa rọ awọn olugbe ipinlẹ ọsun lapapọ lati lọ fi ọkan balẹ tori pe, otitọ yoo fi ara han laipẹ yii.</t>
  </si>
  <si>
    <t>Olabisi also appealed to all residents of Osun State to remain calm, assuring them that the truth will soon come to light.”</t>
  </si>
  <si>
    <t>Gomina tẹlẹ nipinlẹ Osun labẹ asia ẹgbẹ oselu APC lo seto idibo sawọn ijọba ibilẹ nigba to ku diẹ ki saa rẹ kogba wọle.</t>
  </si>
  <si>
    <t>The former governor of Osun State, under the banner of the APC, organized the local government elections shortly before the end of his tenure.”</t>
  </si>
  <si>
    <t>Ẹgbẹ oselu PDP si gba ile ẹjọ lọ lati tako igbesẹ naa, bi Gomina Ademola Adeleke to gba ipo lọwọ Oyetola, tii se asoju ẹgbẹ oselu PDP se wọle sipo naa, lo juwe ọna ile fun awọn alaga Kansu labẹ APC.</t>
  </si>
  <si>
    <t>Ademola Adeleke of the PDP succeeded Oyetola in office, he ensured that the APC-backed council chairmen were removed through legal means</t>
  </si>
  <si>
    <t>Bakan naa, ni ile ẹjọ kotẹmilọrun gbe idajọ rẹ kalẹ lori ẹjọ ti ẹgbẹ PDP pe tako awọn alaga ijọba ibilẹ ti Oyetola dibo yan.Bakan naa, ni ile ẹjọ kotẹmilọrun gbe idajọ rẹ kalẹ lori ẹjọ ti ẹgbẹ PDP pe tako awọn alaga ijọba ibilẹ ti Oyetola dibo yan.</t>
  </si>
  <si>
    <t>Similarly, the Court of Appeal delivered its judgment on the case filed by the PDP against the local government chairmen elected under Oyetola.”</t>
  </si>
  <si>
    <t>Ileẹjọ kotẹmilọrun naa ni igbesẹ lati dibo yan awọn alaga kansu ọhun ko tọna labẹ ofin.</t>
  </si>
  <si>
    <t>The Court of Appeal ruled that the step to vote in order to select those chairmen was not lawful under the law</t>
  </si>
  <si>
    <t>Gomina Ademola Adeleke naa wa seto idibo miran lati yan awọn alaga kansu tuntun sipo.</t>
  </si>
  <si>
    <t>Governor Ademola Adeleke then organized another election to choose new local government chairmen.”</t>
  </si>
  <si>
    <t>Ẹgbẹ oselu APC naa tun gba ileẹjọ kotẹmilọrun mii lọ, ti idajọ si waye ni ọjọ Kẹwa osu Keji ọdun 2025 yii.Ẹgbẹ oselu APC naa tun gba ileẹjọ kotẹmilọrun mii lọ, ti idajọ si waye ni ọjọ Kẹwa osu Keji ọdun 2025 yii.</t>
  </si>
  <si>
    <t>The APC again took the matter to the Court of Appeal, where judgment was delivered on February 10, 2025</t>
  </si>
  <si>
    <t>Idajọ ile ẹjọ kotẹmilọrun naa si lo da awọn alaga ijọba ibilẹ ti gomina ana, Oyetola seto idibo fun labẹ ẹgbẹ oselu APC.</t>
  </si>
  <si>
    <t>Lati igba ni wahala ati rogbodiyan ti ba ẹgbẹ oṣelu APC ati PDP nipinlẹ Osun tori ọrọ ijọba ibilẹ yii, ti wọn si gbe ilẹkun awọn kansu ọgbọn to wa nipinlẹ naa ti pa.</t>
  </si>
  <si>
    <t>Since then, conflict and disputes have troubled the APC and PDP political parties in Osun State because of this local government issue, and the doors of the thirty local councils in the state have been shut.</t>
  </si>
  <si>
    <t>Awọn osisẹ lawọn ijọba ibilẹ ọhun ko le lọ sibi isẹ, ti ijọba apapọ naa sig be ẹsẹ le awọn owo osoosu to tọ si awọn kansu yii.</t>
  </si>
  <si>
    <t>“The staff of the affected local governments have been unable to go to work because the federal government has blocked the funds that are supposed to go to these councils.”</t>
  </si>
  <si>
    <t>Alapini sọrọ yii ninu ifọrọwanilẹnuwo kan to ṣe lori tẹlifisan African A-List TV nibi to ti sọ nipa bo ti bẹrẹ iṣẹ ere ori itage ati awọn ipenija ilera to ti koju.</t>
  </si>
  <si>
    <t>Alapini said this in an interview on African A-List TV, where he spoke about how he began his career in stage acting and the health challenges he has faced.</t>
  </si>
  <si>
    <t>Ọgbẹni Nafiu sọ pe nnkan to buru jai ni bi Tinubu ati ọmọkunrin rẹ, Seyi Tinubu, ko ṣe ranti awọn oṣere to le ni ọgọrun mọ lati ṣe nnkan fun wọn tori atilẹyin ti wọn se fun.</t>
  </si>
  <si>
    <t>Mr. Nafiu said what is most disappointing is that President Tinubu and his son, Seyi Tinubu, have not remembered the many entertainers — possibly up to a hundred — who supported them, by doing something for them in return.”</t>
  </si>
  <si>
    <t>Gbajugbaja oṣere naa sọ pe awọn ri Tinubu gẹgẹ bi ẹni ti yoo ṣe daadaa fun araalu, lo jẹ kawọn ṣe ipolongo fun un tori o ti maa n ṣe daadaa sawọn elere ori itage tẹlẹ.</t>
  </si>
  <si>
    <t>The renowned actor said that they saw Tinubu as someone who would do well for the people, which is why they campaigned for him, since he had always been supportive of stage actors in the past.</t>
  </si>
  <si>
    <t>Amọ, o ni o ṣeni laanu wi pe ireti tawọn ni ninu Tinubu ti di ijakulẹ bayii.</t>
  </si>
  <si>
    <t>However, he said it is unfortunate that the hopes they had in Tinubu have now turned into disappointment</t>
  </si>
  <si>
    <t>Gbajugbaja oṣere naa sọ pe iyalẹnu lo jẹ foun pe Tinubu ati ọmọkunrin rẹ Seyi ko tii ṣe nkankan fawọn, lati mọ riri ohun  tawọn ṣe fun aarẹ lasiko ipolongo ibo lọdun 2023.Gbajugbaja oṣere naa sọ pe iyalẹnu lo jẹ foun pe Tinubu ati ọmọkunrin rẹ Seyi ko tii ṣe nkankan fawọn, lati mọ riri ohun  tawọn ṣe fun aarẹ lasiko ipolongo ibo lọdun 2023.</t>
  </si>
  <si>
    <t>“The popular entertainer said he is surprised that Tinubu and his son, Seyi, have not done anything for them to show appreciation for the support they gave the president during the 2023 election campaign.”</t>
  </si>
  <si>
    <t>''Ṣe Seyi maa sọ pe oun ko ri awọn agba oṣere to jade lati ṣe ipolongo ibo fun baba rẹ ni?</t>
  </si>
  <si>
    <t>Ni ṣe ni gbogbo wa n rin kaakiri laarin ọja lai ṣe were lati polongo ibo fun Tinubu ati agba ati ọmọkekere ninu wa.</t>
  </si>
  <si>
    <t>In fact, all of us went around the markets tirelessly to campaign for Tinubu, both the young and the old among us.”</t>
  </si>
  <si>
    <t>Koda, a tun lọ ṣe ipolongo ibo lawọn ibikan tawọn mii ko le wọ, ṣugbọn wọn o fun wa ni nnkankan,'' Alapini lo sọ bẹẹ.</t>
  </si>
  <si>
    <t>In fact, we even went to campaign in places where others could not enter, yet they gave us nothing,” Alapini said</t>
  </si>
  <si>
    <t>Àjáàbalẹ̀ ìròyìn BBC News Yorùbá lórí WhatsApp rẹ Darapọ̀ mọ́ wa nibì End of podcast promotion Alapini tẹsiwaje pe ''Epe rabandẹ lawọn eeyan n ṣẹ le wa lori lasiko ti a n ṣe ipolongo ibo naa papaa julọ lori ayelujara.</t>
  </si>
  <si>
    <t>Stay updated with BBC News Yoruba on WhatsApp — join us there at the end of this podcast promotion.
Alapini continued, saying: ‘We were constantly being cursed and insulted by people during the election campaign, especially online.</t>
  </si>
  <si>
    <t>Epe ti wọn ṣẹ fun ọrẹ mi Olaiya Igwe to bọ ara rẹ si ihoho leti okun lati polongo ibo fun Tinubu tiẹ pọju.</t>
  </si>
  <si>
    <t>The curse they placed on my friend Olaiya Igwe, who stripped himself naked by the seaside to campaign for Tinubu, is even too much.</t>
  </si>
  <si>
    <t>Olaiya ko tii bọ lọwọ gbigba epe titi di oni, wọn si tun n fi epe ranṣẹ si i,'' Alapini ṣalaye.</t>
  </si>
  <si>
    <t>“Olaiya has not been free from receiving curses up till now, and people are still sending him curses,” Alapini explained</t>
  </si>
  <si>
    <t>Alapini tun sọ ninu ifọrọwanilẹnuwo naa pe ko sẹni to fun Olaiya ni ọkọ , gẹgẹ bii awọn eeyan kan ṣe n sọ lori itakun ayelujara.</t>
  </si>
  <si>
    <t>Alapini also said in the interview that no one gave Olaiya a car, contrary to what some people have been saying on social media.</t>
  </si>
  <si>
    <t>Nigba ti wọn beere lọwọ agbaọjẹ oṣere naa bo ya yoo tun ṣe ipolongo ibo fun Tinubu fun saa keji ṣaaju ibo aarẹ ọdun 2027, Alapini ni oun ko tii ronu nipa rẹ.</t>
  </si>
  <si>
    <t>When the veteran entertainer was asked whether he would campaign for Tinubu again for a second term ahead of the 2027 presidential election, Alapini said he has not yet thought about it.”</t>
  </si>
  <si>
    <t>Agbaọjẹ oṣere naa tun bẹnu ẹtẹ lu awọn eto ti Seyi Tinubu n ṣe lapa ariwa Naijiria lati ṣe iranwọ fawọn ti ko rọwọ họri lawujọ.</t>
  </si>
  <si>
    <t>The veteran actor also criticized the programs Seyi Tinubu is carrying out in Northern Nigeria to support the less privileged in society.</t>
  </si>
  <si>
    <t>O ni ko dara bi Seyi ti pa awujọ Yoruba ti pẹlu eto ti o n ṣe yii.</t>
  </si>
  <si>
    <t>He said it is not right that Seyi has excluded the Yoruba community from this program he is carrying out.</t>
  </si>
  <si>
    <t>''Seyi Tinubu wa n kaakiri apa ariwa, o n san owo itọju awọn alaisan nile iwosan.</t>
  </si>
  <si>
    <t>Seyi Tinubu has been going around the northern region, paying medical bills for patients in hospitals.”</t>
  </si>
  <si>
    <t>Ile iwosan meloo nilẹ Yoruba ni Seyi ti ṣabẹwo si lati sanwo itọju awọn alaisan?'' Alapini lo beere bẹẹ.</t>
  </si>
  <si>
    <t>How many hospitals in Yorubaland has Seyi visited to pay for patients’ treatment?” Alapini asked.</t>
  </si>
  <si>
    <t>Awuyewuye to waye nibi ipade ẹgbẹ APC apa ila oorun ariwa lo fidi ọrọ Awuyewuye to waye nibi ipade ẹgbẹ APC apa ila oorun ariwa lo fidi ọrọ yii mulẹ. mulẹ.</t>
  </si>
  <si>
    <t>“The controversy that arose during the APC North-East zonal meeting confirmed this matter.”</t>
  </si>
  <si>
    <t>Ọrọ bẹyin yọ nibi ipade ẹlẹkunjẹkun to waye lopin ọsẹ nipinlẹ Gombe lẹyin tawọn adari ẹgbẹ naa kede Tinubu gẹgẹ bii oludije fun ipo aarẹ fẹgbẹ oṣelu APC lọdun 2027 lai darukọ Shettima gẹgẹ bi igbakeji re.</t>
  </si>
  <si>
    <t>Ikede naa da wahala silẹ ninu gbọngan ti ipade ọhun ti waye nibi ti alaga gbogbogbo APC, AbdulLahi Ganduje, awọn gomina, minisita, awọn gomina tẹlẹ ri atawọn abẹnugan ninu ẹgbẹ APC ti w ani ijokoo.</t>
  </si>
  <si>
    <t>The announcement caused commotion in the hall where the meeting was held, with the APC National Chairman, Abdullahi Ganduje, governors, ministers, former governors, and other party stakeholders in attendance.”</t>
  </si>
  <si>
    <t>Ṣaaju ipade yii lawọn kan ti n sọ pe ẹgbẹ oṣelu APC ti n gbe igbesẹ lati rọ Shettima nipo, ti ẹlomiran ti yoo dije pẹlu Tinubu ninu ibo aarẹ ọdun 2027.Ṣaaju ipade yii lawọn kan ti n sọ pe ẹgbẹ oṣelu APC ti n gbe igbesẹ lati rọ Shettima nipo, ti ẹlomiran ti yoo dije pẹlu Tinubu ninu ibo aarẹ ọdun 2027.</t>
  </si>
  <si>
    <t>Before this meeting, some people had been saying that the APC party is taking steps to replace Shettima, so that another person will contest with Tinubu in the 2027 presidential election.”</t>
  </si>
  <si>
    <t>Alhaji Adamu sọ pe ''ai darukọ Shettima gẹgẹ bi oludije pẹlu Tinubu ninu ibo aarẹ ọdun 2027 da ariyanjiyan silẹ.</t>
  </si>
  <si>
    <t>Àjáàbalẹ̀ ìròyìn BBC News Yorùbá lórí WhatsApp rẹ Darapọ̀ mọ́ wa nibì End of podcast promotion Olori ẹgbẹ APC gan an ko darukọ Shettima, awọn kan n sọ pe o ṣee ṣe ki wọn fi ẹlomiran rọpo rẹ.</t>
  </si>
  <si>
    <t>Ọrọ ti adari ẹgbẹ APC sọ wi pe Tinubu nikan ni Naijiria lai na-an ni Shettima lo bi ọpọ eeyan to wa nibi ipade naa ninu.</t>
  </si>
  <si>
    <t>Eyi lo jẹ kawọn kan to wa nibi ipade ọhun ran alaga APC leti pe ko tii darukọ Shettima, amọ, ko tori eyi da orukọ igbakeji aarẹ.'' Awọn olori ẹgbẹ APC kan sọ pe o yẹ kawọn adari ẹgbẹ naa fi ọwọ wọ Shettima papaa julọ pẹlu bi ipade ọhun ṣe waye lẹkun rẹ.</t>
  </si>
  <si>
    <t>This made some of those present at the meeting remind the APC chairman that he had not yet mentioned Shettima, but that did not mean the vice president’s name was excluded. Some APC leaders said the party’s leadership should especially recognize Shettima, given that the meeting took place at his residence.</t>
  </si>
  <si>
    <t>Bayii lawọn eeyan bẹrẹ sii lẹ ẹ ni ọra omi ati aga titi tawọn ẹṣo eleto abo fi sin in jade lati ibi ipade naa.</t>
  </si>
  <si>
    <t>Gomina ipinlẹ Bauchi tẹlẹ, Alhaji Abdulmalik Mahmud, sọ pe irinajo laarin aarẹ ati igbakeji ni ọrọ naa jẹ eyi to yẹ ki gbogbo ẹgbẹ gbaruku ti awọn mejeeji.</t>
  </si>
  <si>
    <t>Lara awọn to binu nibi ipade ọhun ni gomina ipinlẹ Borno, Babagana Umara Zulum, to wa lati ipinlẹ kan naa pẹlu Shettima.</t>
  </si>
  <si>
    <t>Gomina Zulu dide nibi ipade naa, o si sọ pe ''Tinubu ati Kashim ni wọn gbọdọ yan.'' Ọrọ akin ti gomina Borno atawọn olori ẹgbẹ mii sọ lo jẹ ki wọn buwọ lu Shettima gẹgẹ bii ẹni ti yoo dije pẹlu Tinubu ninu ibo aarẹ ọdun 2027.</t>
  </si>
  <si>
    <t>Bo tilẹ jẹ pe ijọba Tinubu ṣẹṣẹ pe ọdun meji ni, ọpọ oloṣelu lo ti bẹrẹ ipolongo fun eto idibo gbogbogbo ọdun 2027.</t>
  </si>
  <si>
    <t>Ẹwẹ, awọn onimọ nipa eto oṣelu ti sọ pe nnkan iyalẹnu lo jẹ wi pe rukerudo ti n ṣẹlẹ ninu ẹgbẹ oṣelu APC lati isinyii lọ ti eto idibo ọdun 2027 si wa niwaju.</t>
  </si>
  <si>
    <t>Ọjọgbọn Abubakar Kari to jẹ onimọ nipa eto oṣelu sọ pe awọn ọmọ ẹgbẹ APC kan wa ti wọn fẹ ki ẹlomiran rọpo Shettima ki ẹni naa si dije pẹlu Tinubu ninu ibo aarẹ ọdun 2027.</t>
  </si>
  <si>
    <t>Ọjọgbọn Kari ni ''ọpọ awọn abẹnugan ẹgbẹ APC lẹkun ti Shettima ti wa lo wa lẹyin rẹ, awọn eeyan kan fẹ ki wọn rọpọ rẹ.</t>
  </si>
  <si>
    <t>Wahala ni ọrọ naa yoo da silẹ ti wọn ba fi le rọpọ Shettima pẹlu ẹlomiran.'' Ọjọgbọn Kari ni nnkan to ṣẹlẹ nibi ipade awọn olori ẹgbẹ APC to waye ni Gombe fi han pe rogbodiyan yoo bẹẹ silẹ ninu ẹgbẹ naa ti wọn ba gbiyanju lati fi ẹlomiran rọpo Shettima.</t>
  </si>
  <si>
    <t>Awọn adari ẹgbẹ APC lẹkun iwọ oorun ariwa ninu eyi tawọn gomina, ọmọ ile aṣofin agba l'Abuja atawọn minisita wa kede atilẹyin wọn fun Aarẹ Tinubu loṣu Karun un to kọja ṣaaju ibo aarẹ ọdun 2027.</t>
  </si>
  <si>
    <t>Bo tilẹ jẹ pe Tinubu fun ra rẹ ko tii kede pe oun yoo dije fun ipo aarẹ fun saa keji, awọn onimọ nipa eto oṣelu n kọminu lori awọn nnkan tawọn oloṣelu ti bẹrẹ sii ṣe ṣaaju ibo gbogbogbo ọdun 2027.</t>
  </si>
  <si>
    <t>Alaga ajọ EFCC, Olanipekun Olukoyede, lo fidi ọrọ yii mulẹ ninu fidio kan ti ajọ naa fi lede loju opo Facebook rẹ.</t>
  </si>
  <si>
    <t>Ọgbẹni Olukoyede sọ pe ọrọ awọn ọmọ Yahoo fẹ amojuto gidi ni kiakia tori ọrọ naa ti di egbinrin ọtẹ, to jẹ pe bi a ti n pa ọkan lominiran tun n ruwe.</t>
  </si>
  <si>
    <t>Olukoyede ni ''Ọpọ araalu lo maa n sọ pe awọn ọmọ Yahoo nikan ni EFCC n le kiri, nigba ti wọn fi awọn eeyan to n ji ẹgbẹlẹgbẹ biliọnu naira owo Naijiria silẹ.</t>
  </si>
  <si>
    <t>Ohun to yẹ kawọn eeyan kọkọ mọ ni pe awọn ọmọ Yahoo to n lu jibiti lori ayelujara ti ba orukọ Naijiria jẹ.</t>
  </si>
  <si>
    <t>Awọn mii tiẹ maa sọ fun yin ki eeyan lọ da duro sibi kan, kete ti ẹni naa ba ti yọ iwe irinna rẹ gẹgẹ bi ọmọ Naijiria jade loke okun'' alaga EFCC lo sọ bẹẹ.</t>
  </si>
  <si>
    <t>Ọgbẹni Olukoyede ni ọpọ igba ti oun ba wa laarin awọn akẹgbẹ oun nilẹ okeere ni oju maa n ti oun nitori bi awọn ọmọ Yahoo ti ba orukọ Naijiria jẹ.</t>
  </si>
  <si>
    <t>Alaga EFCC ni laipẹ yii ni ajọ naa fọwọ ofin mawọn ọdọ to le ni ọgọfa ti n wọn n lu awọn eeyan ni jibiti lori ayelujara.</t>
  </si>
  <si>
    <t>Ọgbẹni Olukoyede sọ pe awọn ọdọ aye ode oni ko fẹ jaramọ iṣẹ mọ lati rowo mọ.</t>
  </si>
  <si>
    <t>''Mo wa lati ipinlẹ ti eto ẹkọ jẹ nnkan iwuri fun wa, ṣugbọn lonii nnkan ti yatọ.</t>
  </si>
  <si>
    <t>Ti ẹ ba de ile ẹkọ girama ti mo lọ lonii, nigba ti yoo ba fi di ago mejila ọsan, pupọ ninu awọn akẹkọọ ti kuro nile ẹkọ.</t>
  </si>
  <si>
    <t>Ọpọ ninu wọn ni yoo gba ile itura lọ nibi ti wọn ti n lu awọn eeyan ni jibiti.</t>
  </si>
  <si>
    <t>Laye ode oni ni ẹ maa ri awọn akẹkọọ ile ẹkọ girama ti wọn n lo ọkọ, ṣe awọn to maa dipo olori mu ni Naijiria lọla niyi?'' Olukoyede lo sọ bẹẹ.</t>
  </si>
  <si>
    <t>Àjáàbalẹ̀ ìròyìn BBC News Yorùbá lórí WhatsApp rẹ Darapọ̀ mọ́ wa nibì End of podcast promotion Alaga ajọ EFCC ni kii ṣe jibiti ori ayelujara nikan lawọn ọmọ Yahoo n ṣe bayii, o ni ọpọ ninu wọn lo ti n gbe ibọn.</t>
  </si>
  <si>
    <t>Ọgbẹni Olukoyede ni awọn ọmọ Yahoo ti n ji awọn eeyan gbe pawo bayii.</t>
  </si>
  <si>
    <t>''Ti wọn ko ba ti ri eeyan lu ni jibiti nigba mii, wọn maa n ji eeyan gbe.</t>
  </si>
  <si>
    <t>Ẹri to daju lati fidi eyi mulẹ wa, ọpọ eeyan si mọ pẹlu tori o n jade ninu iwe iroyin.</t>
  </si>
  <si>
    <t>Ni bayii, ọpọ ọmọ Yahoo lawọn oloṣelu n lo lati ji owo ko lọ soke okun.</t>
  </si>
  <si>
    <t>Nitori naa, ẹ ma foju onijibi ori ayelujara lasan wo awọn ọmọ Yahoo mọ.</t>
  </si>
  <si>
    <t>Ọna tawọn eeyan fi n ji owo ijọba ko tẹlẹ ti nira bayii, nnkan ti wọn n ṣe bayii ni pe wọn n gbe owo ti wọn ba ti ji ko sinu akaunti awọn ọmọ Yahoo.</t>
  </si>
  <si>
    <t>Lati ibẹ ni wọn ti n ko owo yii lọ silẹ okeere, apo ikowosi ''crypo'' ni wọn maa n ṣi fawọn ọmọ Yahoo yii.</t>
  </si>
  <si>
    <t>Lati inu akaunti yii ni wọn ti maa n gba owo yii lati ra ile, ra ọkọ tabi ra dukia ti wọn ba fẹ.</t>
  </si>
  <si>
    <t>Awọn oloṣelu yii lo maa n fi awọn ọmọ Yahoo si ile itura nibi ti wọn ti n ṣi akaunti ''Crypto'' fun wọn.</t>
  </si>
  <si>
    <t>Lẹyin naa ni wọn yoo paarọ owo naira si dọla ti wọn yoo si gbe owo naa sinu apo ikowosi awọn ọmọ Yahoo yii." Oludari ajọ EFCC tẹsiwaju pe "Ọmọkunrin ẹni ọdun mejilelogun kan wa ti a mu lẹyin ti a ri i pe owo to le ni biliọnu marun un wọ inu akaunti rẹ laarin ọdun kan ati abọ." Nibo ni ọdunkunrin ti ko tii ṣiṣẹ ri ti ri biliọnu marun un naira laarin oṣu mejidinlogun?</t>
  </si>
  <si>
    <t>Iwadii wa fi han pe awọn oloṣelu lo n lo awọn ọdọ yii lati ji owo ko lọ silẹ okeere, ọmọ naa wa ni ahamọ EFCC bayii nigba ti iwadii si n lọ lori ọrọ naa,'' Olukoyede ṣalaye.</t>
  </si>
  <si>
    <t>Alaga EFCC ni ọrọ awọn ọmọ Yahoo ti kọja ohun tawọn eeyan kan maa n sọ pe ''ẹ fi wọn silẹ, awọn oyinbo ni wọn n lu ni jibiti.</t>
  </si>
  <si>
    <t>Awọn oloṣelu ti n lo ọmọ Yahoo lati ji owo ijọba ko lọ silẹ okeere bayii.</t>
  </si>
  <si>
    <t>Ọpọ ọmọ Yahoo ni wọn n lo awọn ọdọbinrin fun etutu ọla, awọn araalu gan na mọ nipa eleyii.</t>
  </si>
  <si>
    <t>A ba ikoko nile ọmọ Yahoo kan ti a mu, iwadii fi han pe irun ori obinrin lo wa ninu ikoko naa.</t>
  </si>
  <si>
    <t>Alaga EFCC ni awọn ọmọ Yahoo yii n ṣakoba fun ọrọ aje ati orukọ Naijiria.</t>
  </si>
  <si>
    <t>Amọ, o ni ajọ naa ko ni kaarẹ ninu akitiyan rẹ lati gbogun ti awọn ọmọ Yahoo to n ba orukọ rere orilẹede Naijiria jẹ.</t>
  </si>
  <si>
    <t>O wa rọ awọn araalu lati fọwọ sowọ pọ pẹlu EFCC lati gbogun ti awọn ọmọ Yahoo ti wọn jẹ kanda ninu irẹsi ọmọ Naijiria.</t>
  </si>
  <si>
    <t>Minisita tẹlẹ fun ọdọ ati ere idaraya lorilẹede Naijiria, Solomon Dalung, ti ṣapejuwe ọdun meji aarẹ Bola Tinubu gẹgẹ bii ti ko da rara fun orilẹede Naijiria.</t>
  </si>
  <si>
    <t>Dalung sọ eyi nigba to n ba BBC sọrọ lori ayajọ ijọba awarawa ati ayẹyẹ ọdun mẹrindinlọgbọn iṣejọba ijọba awarawa lorilẹede Naijiria.</t>
  </si>
  <si>
    <t>O ni ohun kan ti awọn ọmọ orilẹede Naijiria le sọ nipa iṣejọba Bola Tinubu ni pe awọn dupẹ pe awọn wa laaye.</t>
  </si>
  <si>
    <t>" Ọwọngogo gbode, iṣẹ, ebi ati inira awọn ẹsọ alabo, gbogbo eyi lo ṣokunfa inira fun araalu," o sọ.</t>
  </si>
  <si>
    <t>Solomon Dalung ni awọn ti ko ri ọwọ mu si ẹnu lorilẹede Naijiria n padanu ẹmi wọn nitori ebi ti ijọba Tinubu mu wa si orilẹede Naijiria.</t>
  </si>
  <si>
    <t>"Pẹlu bi inira ṣe pọ to, nigba ti wọn bi Tinubu, o ni oun ko kabamọ pe oun yọ owo epo bentiroolu".</t>
  </si>
  <si>
    <t>Ọpọ igba ni ijọba Bola Tinubu ti jẹ ko di mimọ pe igbesẹ yiyọ owo epo bentiroolu ṣe pataki fun ọrọ aje orilẹede Naijiria lọjọ iwaju.</t>
  </si>
  <si>
    <t>Solomon Dalung ni iṣejọba Tinubu fun ọdun meji ti fihan bayii pe ijọba naa ko si fun awọn ọmọ Naijiria to jẹ alaini  ati pe awọn ọmọ Naijiria ko ti ri pato anfani ti yiyọ owo iranwo epo rọọbi ti mu wa lati igba ti wọn ti yọ kuro.</t>
  </si>
  <si>
    <t>"Lẹyin ipiparọ baalu ati ọkọ, kikọ ile fun igbakeji rẹ, n ko ti ri ipa ijọba Tinubu fun ọdun meji," o sọ.</t>
  </si>
  <si>
    <t>Minisita ọhun tun tẹsiwaju pe ọdun meji iṣejọba Aarẹ Tinubu ti mu ọpọ idojukọ ba ijọba awarawa, eyi to ni o jẹ akọkọ ninu itan orilẹede Naijiria.</t>
  </si>
  <si>
    <t>O tun fẹsun kan ijọba pe o lọwọ ninu bi awọn agbofinro ṣe mu awọn ajafẹtọ ọmọniyan si ahamọ.</t>
  </si>
  <si>
    <t>Bakan naa ni Dalung ni ijọba to wa lode yii n saa ipa lati ra awọn ọmọ ẹgbẹ oṣelu alatako ki wọn le darapọ mọ ẹgbẹ oṣelu rẹ.</t>
  </si>
  <si>
    <t>Lára àwọn tí ààrẹ dá lọ́lá ni aya olóògbé Moshood Abiola, alága àjọ ètò ìdìbò (NEC) nígbà náà, Humphrey Nwosu, tó fi mọ́ igbakeji ààrẹ nígbà kan rí, Shehu Yar'Adua.</t>
  </si>
  <si>
    <t>Láti ìgbà tí ààrẹ ti kéde ìdálọ́lá yìí ni àwọn kan ti ń kan sáárá sí ààrẹ táwọn míì sì ń bu ẹnu àtẹ́ lu ààrẹ pé kò ṣe tó pẹ̀lú àwọn tó fún lóyè náà.</t>
  </si>
  <si>
    <t>Lára nǹkan táwọn èèyàn ń sọ ni pé Tinubu kọ̀ láti fi oyè dá àwọn èèyàn bíi Yinka Odumakin, Babafemi Ojudu, Ọ̀jọ̀gbọ́n Mokwugo Okoye, Dr Tunji Abayomi, Dele Momodu, Arthur Nwankwo, Niran Malaolu, Tunde Oladepo, táwọn náà jà fún ìṣèjọba àwaarawa.</t>
  </si>
  <si>
    <t>Ẹ̀wẹ̀, ààrẹ sọ pé fífi oyè dá àwọn èèyàn náà lọ́lá kò ì tíì pin rárá.</t>
  </si>
  <si>
    <t>Ó ní ọ̀pọ̀ àwọn awakọ̀ tó jà fún ìjọba àwaarawa ni ààrẹ kò fi oyè dá lọ́lá nínú ọ̀rọ̀ rẹ̀.</t>
  </si>
  <si>
    <t>Àjáàbalẹ̀ ìròyìn BBC News Yorùbá lórí WhatsApp rẹ Darapọ̀ mọ́ wa nibì End of podcast promotion Fayemi, tó jẹ́ alákòóso fún ètò rédíò Kudirat Abiola nílẹ̀ òkèèrè nígbà náà, sọ pé lára àwọn tó jà fún ìjọba àwaarawa bíi Yinka Johnson, Gbolahan Olalemi, Daniel Johnson, George Noah àti Dókítà Tajudeen Abdul-Raheem àtàwọn míì tó ṣiṣẹ́ lórí rédíò náà ni ààrẹ kò rántí lára àwọn tí ààrẹ fi oyè dá lọ́lá.</t>
  </si>
  <si>
    <t>Bákan náà ni Dele Momodu sọ pé àwọn kan ń kàn sí òun pé ààrẹ mọ̀ọ́mọ̀ yọ orúkọ òun kúrò lára àwọn tó fi oyè dá lọ́lá.</t>
  </si>
  <si>
    <t>Dele Momodu ní òun gbàgbọ́ pé ìjọba máa ń fún àwọn èèyàn lọ́lá tó bá ṣe wù wọ́n àti pé kìí ṣe ẹ̀ẹ̀kan péré ní irúfẹ́ oyè bẹ́ẹ̀ máa ń wáyé.</t>
  </si>
  <si>
    <t>Ó ní òun gbà lóòótọ́ pé àwọn tó ṣe kókó kan wà tí ààrẹ kò fi orúkọ wọn sára àwọn tó fún lóyè náà.</t>
  </si>
  <si>
    <t>Ó fi kun pé June 12 ti ṣe dada fún òun nípa gbogbo àwọn nǹkan mèremère tó ṣẹlẹ̀ sí òun, tí òun di ọmọ onílùú nílẹ̀ UK.</t>
  </si>
  <si>
    <t>Bákan náà ló kí àwọn tí wọ́n fún ní oyè náà kú oríire.</t>
  </si>
  <si>
    <t>Bẹ́ẹ̀ náà ni ikọ̀ Movement for the Survival of the Ogoni People náà yin Tinubu lákin fú bí ó ṣe fi oyè dá àwọn Ogoni mẹ́sàn-án lọ́lá.</t>
  </si>
  <si>
    <t>Wọ́n ní kí ààrẹ yọ ẹ̀sùn ìpànìyàn tí wọ́n fi kan Ken Saro-Wiwa àtàwọn yòókù rẹ̀ kúrò lọ́rùn wọn.</t>
  </si>
  <si>
    <t>Awọn ẹgbẹ Ogoni Nine lo gbe igbesẹ tako iṣẹ ileeṣẹ epo rọbi Shells ni agbegbe Niger-Delta ni ọdun 80s, ti wọn si dero ahamọ, ti ijọba lasiko Sani Abacha si gba ẹmi wọn.</t>
  </si>
  <si>
    <t>Bakan naa ni aarẹ tu pin ami ẹyẹ nla fun MKO Abiola, Alfred Rewane, Anthony Enahoro ati awọn yooku lasiko to n sọrọ ni ile igbimọ aṣofin niluu Abuja.</t>
  </si>
  <si>
    <t>Ninu ọrọ rẹ Aarẹ ni o ṣeṣe koko lati fi ẹmi imore han si awọn eeyan to ja fun ijọba awarawa lorilẹede Naijiria.</t>
  </si>
  <si>
    <t>Tinubu dupẹ lọwọ Aarẹ ana lorilẹede Naijiria, Muhammadu Buhari fun bi o ṣe gbe igbesẹ lati sọ June 12 di ọjọ ijọba awarawa lorilẹede Naijiria.</t>
  </si>
  <si>
    <t>Tinubu tun pin ami ẹyẹ fun eeyan nla lorilẹede Naijiria bi Femi Falana, Wole Soyinka, ati olori ijọ Aguda ni Sokoto Hassan Kukah.</t>
  </si>
  <si>
    <t>Ni ọjọ kọkanlelọgbọn, oṣu kẹwaa, lọdun 1995 ni ile ẹjọ ologun kan dajọ iku fun Ken Saro Wiwa atawọn akẹgbẹ rẹ mẹjọ ti wọn n ja fun irapada ayika agbegbe Ogoni lorilẹ-ede Naijiria.</t>
  </si>
  <si>
    <t>Ẹsun ipaniyan ni wọn fi kan wọn, ijọba ologun nigba naa labẹ ọgagun Sani Abacha fi ẹsun kan wọn pe wọn lọwọ ninu iku awọn agba ilẹ Ogoni mẹrin kan.</t>
  </si>
  <si>
    <t>Ọjọ kẹwaa, oṣu kọkanla, ọdun 1995 ni wọn pa wọn.</t>
  </si>
  <si>
    <t>Ni igba aye rẹ, Ken Saro Wiwa ko jẹ ki awọn ileeṣẹ ìwapo rọ̀bì lẹkun naa o sinmi nitori awọn idibajẹ ti aibikita iṣẹ wọn n ko ba ayika nigba naa.</t>
  </si>
  <si>
    <t>Titu epo si oju agbami, eleyi to n ṣe ọpọ akoba fun awọn ohun abẹmi ninu omi agbegbe naa.</t>
  </si>
  <si>
    <t>n mu inira nla ba awọn eeyan ibẹ nitori iṣẹ ẹja pipa ni gbajugbaja iṣẹ nibẹ.</t>
  </si>
  <si>
    <t>Kudirat Abiola jẹ opo nla gidi nidi agbekalẹ eto isejọba alagbadada, a ko sile sọrọ June 12, ka yọ ipa to ko sẹyin nitori o fi ẹmi rẹ lelẹ fun ijọba alagbada ni.</t>
  </si>
  <si>
    <t>Wọn bi Kudirat Olayinka Adeyemi ni ilu Zaria lọdun 1951, lati igba ọdọ rẹ lo ti n fi apẹrẹ akinkanju han.</t>
  </si>
  <si>
    <t>Ijẹri ohun to ṣe ni ileewe girama.</t>
  </si>
  <si>
    <t>Muslim Girls High School lo soo di odidi alagbara obinrin pẹlu iṣẹ takuntakun to fi jẹ adari gbogbo ọmọ ile iwe ni kilaasi aṣekagba rẹ.</t>
  </si>
  <si>
    <t>Ọmọ ọdun mọkanlelogun lo fẹ Oloye Moshood Abiola.</t>
  </si>
  <si>
    <t>Alhaja Kudirat ni iyawo keji ti Abiola fẹ ṣugbọn oun ni iyale ninu awọn iyawo rẹ lasiko ti wọn pa a.</t>
  </si>
  <si>
    <t>Ọmọ meje ni Kudirat bi fun ọkọ MKO Abiola - Yisau Olalekan, Hafsat Olaronke, Abdul Mumuni Khafila, Hadi, Moriam, Jamiu Abiodun ati Olalekan Yisau Abiola.</t>
  </si>
  <si>
    <t>Igi araba ni Akinwande Oluwole Babatunde Soyinka nile ati lẹyin odi gẹgẹ bi ọmọ kaaro o jiire ati ọmọ Naijiria ṣugbọn Wole Soyinka sọọ ni awọn eeyan mọ ọ si.</t>
  </si>
  <si>
    <t>Ọmọ bibi ilu Isara-Remo ni Ọjọgbọn Wole Soyinka jẹ to si jẹ ẹlẹkeji ninu ọmọ mẹfa ti iya rẹ bi ni ilu Abeokuta ipinlẹ Ogun.</t>
  </si>
  <si>
    <t>Wọn bi i lọjọ kẹtala, oṣu keje, ọdun 1934.</t>
  </si>
  <si>
    <t>Baba Wole, Samuel Ayodele Soyinka jẹ olufọkansin alufa ijọ Anglican ati adari ile iwe alakọbẹrẹ ti iya rẹ, Grace Eniola Soyinka si jẹ ontaja o tun jẹ ajafẹtọ nipa oṣelu laarin awọn obinrin.</t>
  </si>
  <si>
    <t>Nitori naa, ọgba inu ile ijọsin Anglican ni wole Soyinka gbe ni kekere to si n kọ ẹkọ nipa ẹsin Kristẹni lọdọ awọn obi rẹ.</t>
  </si>
  <si>
    <t>Amọ, bo ṣe n kọ eyi naa lo tun n kọ imọ nipa aṣa ati ẹsin Yoruba lọdọ baba baba rẹ.</t>
  </si>
  <si>
    <t>Bi orilẹede Naijiria ṣe n ṣe ayẹyẹ ijọba awarawa to ma n waye ni Ọjọ kejila oṣu kẹfa ọdọọdun, Ọgagun Hamza Al- Mustapha to jẹ olori awọn ẹṣọ alaabo fun fun Aarẹ Ologun tẹlẹri lorilẹede Naijiria, to di oloogbe, Ọgagunagba Sani Abacha,  ti sọ pe ọpọ nnkan lo waye ni ọjọ kejila oṣu kẹfa ọdun 1993 ti oun yoo sọ sita lọjọ iwaju.</t>
  </si>
  <si>
    <t>Bakan naa lo tun wọgile gbogbo ẹsun ti wọn ka si ọga rẹ lẹsẹ pe o lọwọ ninu laasigbo to bẹ silẹ lẹyin eto idibo ọdun 1993.</t>
  </si>
  <si>
    <t>Ninu iwe rẹ, aarẹ Ologun tẹlẹri, Ọgagun Ibrahim Badamasi Babangida, fẹsun kan Ọgagun Sani Abacha pe o lọwọ ninu awọn ohun to fa wahala lasiko eto idibo aarẹ ọdun 1993.</t>
  </si>
  <si>
    <t>Ninu ifọrọwerọ to ṣe pẹlu BBC Hausa, eyi ni awọn ọrọ ti Ọgagun Hamza Al-Mustapha ba BBC sọ lori eto idibo June12 ọdun 1993 ati awọn nnkan mi to rọ ijọba awarawa.</t>
  </si>
  <si>
    <t>Nigba ti wọn gbe iwe naa sita, wọn ko fi iwe pe mi.</t>
  </si>
  <si>
    <t>N ko ti ka iwe naa, fun idi eyi n ko ni ohunkohun lati sọ.</t>
  </si>
  <si>
    <t>Boya lọjọ iwaju." "Ọrọ June 12 le ju bi awọn eeyan ṣe ro lọ nitori wọn ko mọ ohun to waye.</t>
  </si>
  <si>
    <t>N ko ni sọ ohunkohun bayii," Al-Mustapha ṣalaye.</t>
  </si>
  <si>
    <t>Nigba ti wọn bi Ọgagun Hamza Almustapha  pe bawo ni ọga rẹ se jade laye, o ni: "Ọrọ nla yii ni mo ti sọ ni igbimọ oluwadi Oputa.</t>
  </si>
  <si>
    <t>"Lasiko naa, ọpọ nnkan ni o waye ti a si dari ijọba pẹlu rogbodiyan ati wahala, ti ko dẹ tun si owo.</t>
  </si>
  <si>
    <t>A lọ si orilẹede Libya pẹlu ọpọ eeyan lati lọ wo bi wọn ṣe yanju ọrọ wọn nitori ofin ti de Libya fun igba pipẹ.</t>
  </si>
  <si>
    <t>Odindi ọdun mọkanla ni ofin fi mu Libya.</t>
  </si>
  <si>
    <t>"Ọkan ninu ohun ta ṣe ni ka wa awọn ileeṣẹ aladani ti ijọba le ko owo fun lati ra ọja ti wọn ta fun araalu ni owo kekere, bi o ṣe wa ni Libya.</t>
  </si>
  <si>
    <t>"A ṣe awọn nnkan wọnyi, a si dupẹ pe orilẹede Naijiria ko daru.</t>
  </si>
  <si>
    <t>"Ṣugbọn nigba ti Abacha ku, to yẹ ki wọn da owo naa pada, ọpọ nnkan waye.</t>
  </si>
  <si>
    <t>Wọn bẹrẹ si ni ma fẹsun kan.</t>
  </si>
  <si>
    <t>N ko gbagbọ pe gbogbo awọn owo ti wọn gba pada ni wọn gba pẹlu orukọ Abacha.</t>
  </si>
  <si>
    <t>"Ọpọ awọn araalu ni wọn fi owo wọn ṣowo lati mu irọnu ba Naijiria.</t>
  </si>
  <si>
    <t>Awọn kan gba ti wọn pada, ti awọn kan si ṣa pamọ.</t>
  </si>
  <si>
    <t>"Ibeere to yẹ ka beere ni pe, n jẹ Abacha lo si oke okun ri?</t>
  </si>
  <si>
    <t>N jẹ owo ti wọn gba pada wa pẹlu orukọ Abacha?</t>
  </si>
  <si>
    <t>Rara," Al-Mustapha ṣalaye.</t>
  </si>
  <si>
    <t>Ọgagun Hamza Al-Mustapha ti ilọsiwaju ti ba ijọba awarawa nitori o ti wa fun ọdun mẹrindinlọgbọn bayii.</t>
  </si>
  <si>
    <t>Ẹwẹ, o ni ko si ayipada kankan ninu igbeaye awọn araalu, pẹlu eto aabo to mẹhẹ, isẹ ati osi ti awọn araalu n koju.</t>
  </si>
  <si>
    <t>"Ijọba awarawa wa ṣugbọn fifi eyi fiya jẹ araalu ni ko ni itumọ, to si jẹ asilo ijọba awarawa," Al-Mustapha sọ.</t>
  </si>
  <si>
    <t>Ọgagun Hamza Al-Mustapha ṣalaye, "Insha Allah.</t>
  </si>
  <si>
    <t>Mo gbiyanju nigba kan ri ṣugbọn bayii mo tun ṣa ipa.</t>
  </si>
  <si>
    <t>Eyi ni idi ti a fi ba awọn orilẹede kan sọrọ pe ki wọn fi oju inu wo Naijiria paapa nipa eto idibo.</t>
  </si>
  <si>
    <t>Nitori gbogbo esi idibo lo jẹ mọdaru." "N ko ni nkankan ṣe pẹlu eyi nitori o jẹ ohun ti mo ri pe o tapa si igbagbọ mi.</t>
  </si>
  <si>
    <t>Ti mo ba ri nnkan ti ko dara to, n ko ni lọwọ ninu rẹ tabi ṣe ohun itiju ti yoo ba orukọ rere wa jẹ.</t>
  </si>
  <si>
    <t>" Awọn eeyan to ni APC n lo awọn eeyan wa lati ma fun wọn ni anfani lati darapọ iṣopọ ẹgbẹ oṣelu, lagbara Ọlọrun , n ko ti ẹnikẹni ti yoo ṣe bẹ tabi lo mi ṣe bẹ fun orilẹede mi.</t>
  </si>
  <si>
    <t>"Ko si iye owo ti wọn le gbe wa ti yoo mu mi ṣe ibi fun awọn ọmọ orilẹede Naijiria.</t>
  </si>
  <si>
    <t>Lọdọọdun si ni awọn aarẹ to ba wa lori aleefa, ma n ba araalu sọrọ lati ile aarẹ.</t>
  </si>
  <si>
    <t>Amọ ni ọdun yii, ile igbimọ aṣofin ni Aarẹ Bola Tinubu ti ṣe ayajọ June 12, to si fi asiko naa kede awọn igbesẹ kan ti ijọba rẹ gbe.</t>
  </si>
  <si>
    <t>Ninu ọrọ rẹ, Aarẹ Tinubu kede pe oun ti fi oye nla orilẹede Naijiria da awọn eeyan kan to ko ipa nla lasiko June 12 ọdun 1993 lọla.</t>
  </si>
  <si>
    <t>Aarẹ Bola Tinubu fi oye nla da Kudirat Abiola, aya oloogbe Moshood Abiola, alaga ajọ eleto idibo (NEC) nigba naa, Humphrey Nwosu, to fi mọ igbakeji aarẹ nigba kan ri, Shehu Yar'Adua, pẹlu awọn yooku, lọla.</t>
  </si>
  <si>
    <t>Bẹẹ ba gbagbe, Moshood Abiola ni wọn kede pe o bori eto idibo aarẹ ọdun 1993.</t>
  </si>
  <si>
    <t>Àjáàbalẹ̀ ìròyìn BBC News Yorùbá lórí WhatsApp rẹ Darapọ̀ mọ́ wa nibì End of podcast promotion "Bi a ṣe n ṣe ayajọ ọdun mẹrindinlọgbọn ijọba awaarawa, ohun to tọ ni ki a fi oye nla da awọn eeyan to ko ipa nla lati ri pe a ri ijọba awaarawa gba fun orilẹede wa, lọla" Tinubu sọ.</t>
  </si>
  <si>
    <t>"Pẹlu eyi mo n kede fifi oye CFR da Kudirat Abiola lọla, fun ipa to ko ni June 12." Bakan naa ni Aarẹ Tinubu tun fi oye CON da Nwosu ati oye GCFR da Shehu Musa Yar'Adua lọla.</t>
  </si>
  <si>
    <t>Awọn yooku ti aarẹ fi oye da lọla ni Rear Admiral Ndubuisi Kanu (CON), Alhaji Balarabe Musa (CFR), Pa.</t>
  </si>
  <si>
    <t>Alfred Rewani (CFR), Bagauda Kaltho (OON), Chima Ubani (OON), Dr.</t>
  </si>
  <si>
    <t>Beko Ransome-Kuti (CON), Alao Aka Bashorun (CON), Chief Frank Kokori (CON), Emma Ezeazu (OON), Bamidele Aturu (OON), Fredrick Fasehun (CON), Ọjọgbọn Festus Iyayi (CON), Dr John Yima Sen (OON), Alhaja Sawaba Gambo (CON), Dr.</t>
  </si>
  <si>
    <t>Edwin Madunagu (CON), Dr.</t>
  </si>
  <si>
    <t>Alex Ibru (CON), Chief Bola Ige (CFR), Pa.</t>
  </si>
  <si>
    <t>Reuben Fasoranti (CFR), Sen.</t>
  </si>
  <si>
    <t>Ayo Fasanmi (CON), Sen.</t>
  </si>
  <si>
    <t>Polycarp Nwite (CON) ati Dr.</t>
  </si>
  <si>
    <t>Nurudeen Olowopopo (CON)," Aarẹ kede.</t>
  </si>
  <si>
    <t>Yatọ si eyi, awọn eeyan mi ti aarẹ tun fi oye da lọla ni ajafẹtọ ọmọniyan ati agbẹjọro, Femi Falana, Agba onkọwe, Wole Soyinka, ati Bisọọbu ijọ Sokoto Diocese, Hassan Kukah.</t>
  </si>
  <si>
    <t>Aarẹ Tinubu tun jẹ ko di mimọ pe, irọ to jina sina si otitọ ni pe oun fi ofin de ajọ INEC lati ma ṣe faaye gba idasilẹ ẹgbẹ oṣelu tuntun gẹgẹ bii iroyin kan ṣe gbe sita.</t>
  </si>
  <si>
    <t>Aarẹ ni oun ko gbe igbesẹ kankan pe ki INEC ma faaye gba idasilẹ ẹgbẹ oṣelu tuntun.</t>
  </si>
  <si>
    <t>"N ko sọ eyi rara pe ko ma si idasilẹ ẹgbẹ oṣelu tuntun." O ni ẹgbẹ oṣelu All Progressives Congress, APC, yoo jẹbi ọpọ ẹsun ti ko ba fi aye gba ki awọn eeyan darapọ mọ ẹgbẹ oṣelu naa.</t>
  </si>
  <si>
    <t>O wa fi asiko naa ki awọn ọmọ ẹgbẹ tuntun lati ipinlẹ Delta ati Akwa Ibom,  "Ẹ kaabọ si ẹgbẹ itẹsiwaju." Bakan naa ni Tinubu ni oun ko ṣetan lati ṣe iranlọwọ fun ẹgbẹ oṣelu kankan lati to ile wọn nitori inu oun dun bi o ṣe n daru.</t>
  </si>
  <si>
    <t>"O dun lati ma wo bi ile yin ṣe n daru." Aarẹ Bola Tinubu ni oun ṣeleri lati daabo bo ẹtọ awọn araalu lati sọ ohunkohun ti wọn ba fẹ sọ sita.</t>
  </si>
  <si>
    <t>Aarẹ sọ fun awọn ẹsọ alabo lati ma ṣe dẹru ba ẹnikẹni to ba bu ẹnu atẹ lu iṣejọba rẹ.</t>
  </si>
  <si>
    <t>"Ijọba awaarawa faaye gba ki eeyan ma sọ ohun to ba fẹ tabi fi iwọsi ransẹ si ijọba.</t>
  </si>
  <si>
    <t>"Ẹ pe mi ni orukọ, ẹ pe mi ni ohun ti ẹ ba fẹ pe mi,  nitori ijọba awaarawa sọ pe ẹ ni ẹtọ lati ṣe bẹ." Bakan naa ni aarẹ kesi awọn oloṣelu pe ki wọn faaye gba ijiroro dipo ki wọn ma a paṣẹ wa a tabi tẹ ẹtọ ọmọniyan mọlẹ.</t>
  </si>
  <si>
    <t>Aarẹ Bola Tinubu ni ileeṣẹ aarẹ ti forijin oloogbe ajafẹtọ ọmọniyan, Ken Saro Wiwa ati awọn mẹjọ mii ti wọn jẹ ọmọ ilẹ Ogoni, ti wọn n pe ni Ogoni Nine.</t>
  </si>
  <si>
    <t>Tinubu ṣapejuwe awọn eeyan yii gẹgẹ bii akọni fun orilẹede Naijiria, to si tun kede pe wọn yoo gbe ami ẹyẹ kalẹ ni orukọ wọn .</t>
  </si>
  <si>
    <t>Awọn ọmọ eeyan yooku ni Saturday Dobee, Nordu Eawo, Daniel Gbooko, Paul Levera, Felix Nuate, Baribor Bera, Barinem Kiobel, ati John Kpuine.</t>
  </si>
  <si>
    <t>"Bakan naa ni mo tun fun  wọn ni ami ẹyẹ nla ti orilẹede Naijiria; Ken Saro Wiwa (CON), Saturday Dobee (OON), Nordu Eawo (OON), Daniel Gbooko (OON), Paul Levera (OON), Felix Nuate (OON), Baribor Bera (OON), Barinem Kiobel (OON), ati John Kpuine (OON).</t>
  </si>
  <si>
    <t>"Mo ma lo agbara mi lati fi idarijin ijọba fun awọn mii ti a si ma kede orukọ wọn ni aipẹ yii." Saro Wiwa ati awọn akẹgbẹ rẹ ni wọn fẹsun ipaniyan kan, ti wọn si yẹgi fun wọn ni ọdun 1995 labẹ iṣejọba Oloogbe Sani Abacha.</t>
  </si>
  <si>
    <t>Ṣe igbagbọ ọmọ Naijiria ni pe bi Abacha ṣe jẹ apaṣẹ-waa, ologun to buru naa lo tun lu owo orilẹede yii ni ponpo.</t>
  </si>
  <si>
    <t>Eyi ri bẹẹ pẹlu bi owo gọbọi ṣe n wọle si Naijiria lati ọdọ awọn orilẹẹde agbaye ti Oloogbe Sani ko owo ilu yii si ọdọ wọn.</t>
  </si>
  <si>
    <t>Ati pe o fẹrẹ ma si ijọba kan ti ko gba ipe lati oke okun léyin Abacha, ti awọn orilẹede naa n sọ fun wọn pe Abacha kowo Naijiria si ọdọ awọn, ti wọn si n da owo naa pada.</t>
  </si>
  <si>
    <t>Ṣugbọn Maryam, Iyawo Abacha, sọ lọjọ Aiku to kọja yii, pe ojuu ta a lo ṣe ti ọkọ oun fi n kowo Naijiria pamọ.</t>
  </si>
  <si>
    <t>Abilekọ Abacha fi kun un pe ọkọ oun tọju owo fun Naijiria ni, ki i ṣe pe o kowo sa pamọ.</t>
  </si>
  <si>
    <t>O ni owo to fi silẹ sile ijọba nkọ, ṣebi kia lo tan, ti aye ko si ri iyẹn sọ, afi ti ibanilorukọjẹ ti wọn n gbe kiri.</t>
  </si>
  <si>
    <t>"Nibi to si ti n gbiyanju lati ṣe eyi, o ti gbe igbesẹ to fi n pe ọmọ Naijiria ni omugọ.</t>
  </si>
  <si>
    <t>Eyi lọrọ ti gbajumọ akọroyin ati onkọwe nipa ọrọ to n lọ lawujọ, Festus Adedayọ sọ fun BBC Yoruba.</t>
  </si>
  <si>
    <t>Koda, o fi kun un pe, "Ọrọ Abilekọ Abacha to sọ pe ọkọ oun tọju owo Naijiria silẹ okeere pani lẹrin-in pupọ, ko si si ọgbọn iṣuna kankan nibẹ bo ti wu ko mọ.</t>
  </si>
  <si>
    <t>"Bi ijọba ologun ba tiẹ fẹẹ tọju owo Naijiria si oke okun bo ṣe wi, igbesẹ ati ilana wa fun iru ẹ." Ọgbẹni Festus Adedayọ sọ pe ohun to daju ni pe iru rẹ ko ṣee ṣe lẹyin banki apapọ Naijiria, to gbọdọ fi aṣẹ si i.</t>
  </si>
  <si>
    <t>O  fi kun unpe iyawo olori Naijiria tẹlẹ naa fẹ tun orukọ ọkọ rẹ ṣe ni, eleyi to ni yoo le diẹ ati pe o yẹ 'ki eeyan kaaanu Abilekọ Abacha, pẹlu awijare  rẹ to ni o panilẹrin jọjọ.</t>
  </si>
  <si>
    <t>Ọmọwe Adedayọ fi iṣejọba Abacha we ti awọn apaṣẹ-waa agbaye bii Idi Amin Dada ilẹ Uganda, Augusto Pinochet  ti Chile, Francois Duvalier ti Haiti ati bẹẹ bẹẹ lọ.</t>
  </si>
  <si>
    <t>O ni lẹyin o rẹyin ni aṣiri Abacha tu, pe ki i ṣe pe o ya ika apaṣẹ -waa lasan, o tun ji owo ilu Naijiria ko bii ẹni ti nnkan n ṣe agbari rẹ ni.</t>
  </si>
  <si>
    <t>Adedayo sọ pe gbogbo owo Abacha to ji ko ti wọn n gba pada, ati awọn mi-in ti ẹni kan ko ni I igba laye yii mọ, fi han pe eṣu meji lo dari Abacha lasiko ijọba rẹ: Eṣu agbara to n pani ati ti owo kiko.</t>
  </si>
  <si>
    <t>Makinde ni ọdun mẹfa ti to fun adari to ba mọ ohun to n ṣe lati mu irọrun ba awọn to n ṣejọba le lori.</t>
  </si>
  <si>
    <t>Gomina ọhun ti wa ke si awọn aṣofin ki wọn gbe igbesẹ lori aba naa.</t>
  </si>
  <si>
    <t>O ni "Mo ti lo ọdun mẹfa lori oye bo tilẹ jẹ pe a padanu ọdun 2020 ti kii ṣe ẹbi ẹnikẹni.</t>
  </si>
  <si>
    <t>"A tun padanu nnkan bii ọdun kan mii ti a fi n ṣe ipolongo ibo fun saa keji, ni bayii, awọn eeyan tun ti n ba wa sọrọ lori ohun to yẹ ki a ṣe lẹyin eyii.</t>
  </si>
  <si>
    <t>"Idi ree ti mo fi ro pe o yẹ ka yọ awọn idiwọ wọnyii kuro, saa kan ṣoṣo to jẹ ọdun marun tabi ọdun mẹfa ti to ọmọluabi lati ṣe awọn iṣẹ ti a fẹ ṣe." Makinde lo sọ ọrọ naa lasiko ti awọn Musulumi ṣabẹwo si nile ijọba to wa ni Agodi, niluu Ibadan lẹyin adura ọdun Ileya.</t>
  </si>
  <si>
    <t>O ni bo tilẹ jẹ pe ọrọ ofin ni aba ọhun, o jẹ ohun to yẹ ko ṣiṣẹ fun orilẹede Naijiria ti wọn ba le gba aba naa wọle.</t>
  </si>
  <si>
    <t>Gẹgẹ bo ṣe sọ, ootọ ọrọ ni oun sọ nipa saa ti awọn oloṣelu n lo lori oye ko si yẹ ki ẹru maa ba eeyan lati sọ otitọ nitori ohun to fẹ jẹ tabi ipo to fẹ dimu.</t>
  </si>
  <si>
    <t>Gomina Oyo ọhun sọ pe bo tilẹ jẹ pe kii ṣe igba akọkọ ti irufẹ ọrọ bẹẹ yoo jade ree, ohun to yẹ ki awọn aṣofin Naijiria gbe yẹwo ni.</t>
  </si>
  <si>
    <t>Lara awọn to wa nibi ipade naa ni igbakeji Makinde, Abdulraheem Lawal, Otun Olubadan ilẹ Ibadan, Rashidi Ladoja; igbakeji gomina tẹlẹ, Taofeek Arapaja; to fi mọ awọn  igbakeji gomina meji mii nigba kan ri, Hazeem Gbolarumi ati Hamid Gbadamosi.</t>
  </si>
  <si>
    <t>Fubara tun ni eto lati jẹ ki alaafia jọba laarin ijọba ati ile igbimọ aṣofin nipinlẹ ti n lọ lọwọ bayii.</t>
  </si>
  <si>
    <t>Fubara wa fi da awọn araalu pe eto ijọba awarawa ati ijọba rere yoo pada si ipinlẹ naa laipẹ.</t>
  </si>
  <si>
    <t>Eyi lo jade ninu atẹjade ti agbẹnusọ Gomina, Nelson Chukwudi fi lede fawọn akọroyin lẹyin ti Gomina sọrọ nibi ipade awọn agbagba kan lati ti fi ṣe ayajọ ọdun meji to di Gomina ipinlẹ naa.</t>
  </si>
  <si>
    <t>"Mo n fi dayin loju pe ọrọ yoo tan yanju, ti ẹ o si pada si ofisi yin, ki ṣe ti awọn gomina nikan, pẹlu awọn ọmọ ile igbimọ aṣofin bakan naa.</t>
  </si>
  <si>
    <t>Ohun to ṣe koko fun wa bayii ni lati ni ẹmi idarinjin." Fubara rọ gbogbo awọn alatilẹyin rẹ ati gbogbo eeyan ipinlẹ Rivers pe ki wọn dupẹ lọwọ Aarẹ Bola Tinubu fun igbesẹ akin to gbe lati mu alaafia wa si ipinlẹ Rivers.</t>
  </si>
  <si>
    <t>O rọ wọn pe ki wọn gba alaafia laaye, ki wọn si fọwọsowọpọ pẹlu ijọba lati jẹ ki alaafia jọba .</t>
  </si>
  <si>
    <t>O ni:  "A ti bẹrẹ eto alaafia.</t>
  </si>
  <si>
    <t>Mo fẹ ki ẹ dupẹ lọwọ Aarẹ fun igbesẹ to gbe.</t>
  </si>
  <si>
    <t>Ti ki i ba ṣe ti Aarẹ ni, ohun ti a n wi lonii kọ a ni ma wi." "N ko mọ bi aarẹ ṣe gbọ iroyin ṣugbọn otitọ ọrọ ni pe Aarẹ fi ọgbọn ori ṣe eyi ni asiko to yẹ.</t>
  </si>
  <si>
    <t>O yẹ ki a dupẹ lọwọ Aarẹ fun igbesẹ to gbe." Ninu oṣu kẹta, Aarẹ Bola Tinubu kede ilu o fararọ niìpinlẹ Rivers latari laasigbo oṣelu to n waye níbẹ.</t>
  </si>
  <si>
    <t>Nibi ọrọ ti aarẹ ba awọn ọmọ orilẹ ede Naijiria sọ ni aṣelẹ ọjọ Iṣẹgun, ọjọ Kejidinlogun, oṣu Kẹta lo ti sọrọ naa.</t>
  </si>
  <si>
    <t>Tinubu ni laasigbo oṣelu to n waye ni ipinlẹ naa lati bii oṣu meloo kan sẹyin n kọ oun lominu.</t>
  </si>
  <si>
    <t>O ní gbogbo igbìyanju oun lati ri pe ifanfa naa wa sopin lo ja si pabo.</t>
  </si>
  <si>
    <t>Chukwuemeka Odumegwu Ojukwu kede pe orilẹ-ede Biafra awọn Ibo ti ya kuro lara Naijiria.</t>
  </si>
  <si>
    <t>Ikede Ojukwu yii lo jẹ ki ogun abẹle bẹ silẹ lọdun 1967, ọdun mẹta gbako ṣi ni wọn fi ja ogun naa.</t>
  </si>
  <si>
    <t>Akọsilẹ fi idi rẹ mulẹ pe eeyan to le lẹgbẹrun lọna ẹẹdẹgbẹta ni ebi ati iṣẹ pa ku ninu ẹya Igbo ninu eyi ti awọn ọmọde ti pọju lọ.</t>
  </si>
  <si>
    <t>Lati ọdun naa ni ọgbọnjọ, oṣu karun un ti di pataki ninu itan orilẹ-ede Naijiria papaa julọ fawọn ẹya Ibo.</t>
  </si>
  <si>
    <t>Awọn ẹya Igbo naa ko kọkọ ka ọjọ yii kun tẹlẹ, amọ awọn to n pe ifun iyapa Ibo lara Naijiria ti jẹ ki wọn ka a kun bayii.</t>
  </si>
  <si>
    <t>Ọgbẹni Benjamin Obiajulu Aduba to mori bọ lasiko ogun Biafra ni gbogbo ọgbọnjọ oṣu Karun un ọdọọdun loun maa n ranti awọn ẹbi, akẹgbẹ oun nile ẹkọ, awọn ọrẹ ati gbogbo eeyan to padanu ẹmi ninu ogun Biafra.</t>
  </si>
  <si>
    <t>Ọgbẹni Aduba ni oun ko gbagbe bawọn ẹgbọn baba ati iya oun ṣe ṣọfọ iku awọn ọdọ langba nigba kugba ti wọn ba ti kede rẹ lasiko ti ogun naa n lọ lọwọ.</t>
  </si>
  <si>
    <t>''Mo ranti Chidu Aduba, Adaeze Aduba, Onyejelu Aduba, Onyeobialu Anyaragbu, Clifford Orji, Henry Onyebeke, ati Augustine Madu ti gbogbo wọn ba ogun Biafra lọ.</t>
  </si>
  <si>
    <t>Mi o gbagbe David Nwaigbo to jẹ akẹgbẹ mi nile ẹkọ, bakan naa ni mo ranti ọpọlọpọ eeyan ti wọn ba ogun ọhun lọ,'' Aduba lo sọ bẹẹ.</t>
  </si>
  <si>
    <t>Kii ṣe awọn ẹbi ati ọrẹ Aduba nikan lo ba ogun Biafra lọ, ko din ni miliọnu mẹta eeyan to ṣegbe sinu ogun Biafra.</t>
  </si>
  <si>
    <t>Ado oloro ṣeku pa ọpọ eeyan lọja, Henry Onyebeke, akẹkọọ ọmọ ọdun mẹrinla ṣagbako iku ni ọja Nkwo Inyi nibi to wa ounjẹ lọ fun ẹbi rẹ.</t>
  </si>
  <si>
    <t>Ebi lo pa awọn eeyan mii ku, awọn mii ṣe aisan ti wọn si gba ibẹ lọ nigba ti wọn ko ri itọju; oriṣiiriṣii nnkan mii ṣeku pa ọpọ eeyan lasiko ogun Biafra.</t>
  </si>
  <si>
    <t>Ọgbẹni Aduba ni idi niyii to fi yẹ kawọn eeyan ya ọjọ kan sọtọ lati maa ṣe iranti awọn to ku ninu ogun abẹle Biafra.</t>
  </si>
  <si>
    <t>O ni kii ṣe awọn ẹya Ibo nikan lo ku ninu ogun Biafra, awọn ọmọ Naijiria mii naa ba ogun abẹle ọhun lọ.</t>
  </si>
  <si>
    <t>Aduba ni gbogbo wọn lo yẹ kawọn eeyan maa ṣe iranti wọn.</t>
  </si>
  <si>
    <t>Ọgbẹni Aduba sọ pe gbogbo eeyan lo yẹ ko maa ṣe iranti ogun abẹle Biafra tori ara itan orilẹede Naijiria ni ogun naa jẹ, ''bo tilẹ jẹ pe awọn oloṣelu maa wo ọjọ yii pe awọn ẹya Ibo nikan lo wa fun un.'' O ni o yẹ ki gbogbo ọmọ Naijiria ya ọgbọnjọ oṣu Karun un lọdọọdun sọtọ fun iranti awọn to ba ogun Biafra lọ.</t>
  </si>
  <si>
    <t>Ilu Nnewi ni Ojukwu ti wa nipinlẹ Anambra ṣugbọn ilu Zungeru nipinlẹ Niger ni wọn bi i si lọdun 1933.</t>
  </si>
  <si>
    <t>Ọmọ onile ọlọna ni Ojukwu i ṣe, awọn obi rẹ ran an nile iwe debi pe o tun kawe ni fasiti niluu London.</t>
  </si>
  <si>
    <t>Lẹyin naa lo kede orilẹ-ede Biafra pe ẹya Ibo ṣetan lati yapa kuro ni Naijiria eyi to jẹ ki ogun bẹ silẹ.</t>
  </si>
  <si>
    <t>Ojukwu lọ ṣatipo lorilẹede Ivory Coast lọdun 1970 lẹyin ti ogun abẹle pari ki ijọba Naijiria to darijin in lọdun 1982.</t>
  </si>
  <si>
    <t>Ijọba Naijiria gbe Ojukwu lọdun 1983 lẹyin iṣẹlẹ iditẹgbajọba kan, ṣugbọn wọn pada fi i silẹ lọdun 1984.</t>
  </si>
  <si>
    <t>Ojukwu ko saaba dasi ọrọ oṣelu mọ lati igba naa titi to fi ku lọdun 2011.</t>
  </si>
  <si>
    <t>Àjáàbalẹ̀ ìròyìn BBC News Yorùbá lórí WhatsApp rẹ Darapọ̀ mọ́ wa nibì End of podcast promotion Ẹwẹ, ileeṣẹ ọlọpaa Anambra to ko awọn agbofinro sita kaakiri ipinlẹ naa lati daabo bo araalu lẹyin ti ẹgbẹ IPOB kede konile-o-gbele lati ṣe ayajọ ọgbọnjọ oṣu Karun un ọjọ Biafra lonii.</t>
  </si>
  <si>
    <t>Ṣaaju ni ẹgbẹ IPOB kede konile-o-gbele fun gbogbo eeyan kaakiri ilẹ Ibo lonii lati ṣe iranti awọn to ba ogun abẹle Biafra lọ.</t>
  </si>
  <si>
    <t>Alukoro ileeṣẹ ọlọpaa ipinlẹ Anambra, SP Tochukwu Ikenga, sọ pe awọn ọlọpaa, awọn oṣiṣẹ ajọ DSS, awọn oṣiṣẹ abo ara ẹni ni abo ilu, awọn soja, awọn ẹṣọ oju popo atawọn ọmogun ori omi ti wa lojufo lati ṣiṣẹ papọ koju awọn to ba fẹ da wahala silẹ.</t>
  </si>
  <si>
    <t>''Lẹyin ipade idakọnkọ lori ọrọ abo ti o waye nipinlẹ Anambra tori ikede konile-o-gbele ni ọgbọnjọ osu Karun un yii tawọn ọdaran kan kede, Kọmiṣọna ọlọpaa, IKioye Orutugu, ti sọ pe awọn ẹṣọ eleto abo ti ṣetan lati koju ẹnikẹni to ba da ilu ru.</t>
  </si>
  <si>
    <t>Ifọwọsowọpọ laarin awọn ẹṣọ eleto abo yoo jẹ ki erongba ijọba lati jẹ ki alaafia jọba so eso rere.</t>
  </si>
  <si>
    <t>Awọn ọlọpaa, awọn oṣiṣẹ ajọ DSS, awọn oṣiṣẹ abo ara ẹni ni abo ilu, awọn soja, atawọn Ileeṣẹ ọlọpaa Anambra wa rọ awọn araalu lati pe ọlọpaa lori nọmba yii - 07039194332 tabi 08039334002 ti wọn ba kẹfin nnkan to mu ifura dani.</t>
  </si>
  <si>
    <t>Ọpọ igbesẹ ati awọn akanṣe iṣẹ kan ni Gomina ipinlẹ Oyo, Seyi Makinde, ti ṣe eyi to jẹ ki ọpọ eeyan maa sọrọ rẹ.</t>
  </si>
  <si>
    <t>Awọn nkankan wa ti Makinde ṣe lati igba to ti di gomina ipinlẹ ti inu araalu dun si.</t>
  </si>
  <si>
    <t>Bakan naa, awọn igbesẹ miran wa ti Makinde gbe gẹgẹ bii gomina eyi to jẹ ki ọpọ eeyan koro oju si i.</t>
  </si>
  <si>
    <t>Eyi lo mu ki BBC Yoruba se akojọpọ koko ohun marun ti awọn araalu n yonbo gomina Seyi Makinde fun laarin ọdun mẹfa to ti gori aleefa gẹgẹ bii gomina ipinlẹ Oyo.</t>
  </si>
  <si>
    <t>Iyansipo awọn ọba Lọdun 2023 ni  Makinde gbe ọpa aṣẹ fun Ọba Afolabi Ghandi Olaoye gẹgẹ bii Soun ilu Ogbomoso lẹyin awuyewuye to ti waye nile ẹjọ lori ọrọ ẹni ti oye naa tọ si.</t>
  </si>
  <si>
    <t>Ti ẹ o ba gbagbe, Ọmọba Muhammed Kabiru Olaoye lo gbe Ọba Ghandi lọ ile ẹjọ ti o si sọ fun ile ẹjọ wi pe ko koju oṣunwọn lati jẹ oye naa.</t>
  </si>
  <si>
    <t>Amọ, gomina ipinlẹ Oyo ko fi ti ẹjọ to wa lori ọrọ oye naa ṣe, o tẹsiwaju lati gbe ọpọ aṣẹ fun Soun.</t>
  </si>
  <si>
    <t>Bakan naa ni gomina ipinlẹ Oyo tun da Ọba Samuel Adebayo Adegbola, Eleruwa ti Eruwa ti wọn yọ nipo ọba ni 2019 pada si ori itẹ rẹ lọdun 2025.</t>
  </si>
  <si>
    <t>Ko tan sibẹ o, Makinde tun kede Ọba Akeem Owoade gẹgẹ bii Alaafin Oyo tuntun lẹyin awuyewuye to ti n waye lori ta ni yoo jẹ oye naa lẹyin  ti Alaafin Lamidi Adeyemi ti waja fun bii ọdun meloo kan.</t>
  </si>
  <si>
    <t>Gomina ipinlẹ Oyo fọnmu lori idajọ ile ẹjọ to ga julo Naijiria lọdun 2024, eyi to fawọn ijọba ibilẹ lominira lati maa gba owo wọn sapo taara lati ọwọ ijọba apapọ, dipo bi owo naa ṣe n kọkọ bọ sapo ijọba ipinlẹ wọn.</t>
  </si>
  <si>
    <t>Makinde sọ pe ijọba ipinlẹ naa ko nilo aṣẹ lati ọdọ ijọba apapọ orileede Naijiria ki wọn to gbe igbesẹ kankan lati tukọ ipinlẹ wọn.</t>
  </si>
  <si>
    <t>Gomina ipinlẹ Oyo sọ pe pẹlu awọn nnkan ti oun gbọ nipa idajọ naa, iṣini lọna lo jẹ, nitori pe yatọ si ijọba ibilẹ to wa, awọn tun ṣi ni ijọba ibilẹ idagbasoke ti ile-ẹjọ ko mẹnuba, to si ni awọn yoo wa ọna abayọ sii.</t>
  </si>
  <si>
    <t>O ni oun ko ni jẹ ki iya jẹ awọn araalu nitori idajọ ti ile-ẹjọ agba gbe kalẹ nipa pe ki awọn ijọba ibilẹ maa ṣakoso owo wọn.</t>
  </si>
  <si>
    <t>Gomina sọrọ yii nibi ipade to ṣe pẹlu awọn alẹnulọrọ ninu eto iṣejọba ibilẹ ipinlẹ Ọyọ lọjọ Aje, nibi to ti gbe igbimọ ti yoo ṣagbeyẹwo awọn ohun to wa ninu iwe idajọ naa.</t>
  </si>
  <si>
    <t>Ọpọ eeyan ni ipinlẹ Oyo papaa julọ niluu Ibadan lo koro oju si bi ijọba Seyi Makinde ṣẹ bẹrẹ sii wo awọn le kan lagbegbe Podo ni ijọba ibilẹ Oluyole ati Lagelu niluu Ibadan loṣu Keji ọdun 2025 yii.</t>
  </si>
  <si>
    <t>Kọmiṣọna fun ọrọ ilẹ, ilegbe ati idagbasoke ilu, Arabinrin Willaims AkinFunmilayo ṣalaye pe awọn to kọ ile sori ilẹ ijọba ni ijọba n wo ile wọn.</t>
  </si>
  <si>
    <t>Arabinrin Akinfunmilayi nnkan ini ijọba ni ilẹ ti ọpọ eeyan kọ ile sori rẹ eyi to lodi sofin.</t>
  </si>
  <si>
    <t>O fikun ọrọ rẹ pe ẹnikẹni to n ba n kọ ile sori ilẹ ti kii ṣe tiẹ fẹ ji ilẹ naa gba ni.</t>
  </si>
  <si>
    <t>Kọmiṣọna ni ẹka 3(1) ofin to n daabo bo ohun ini nipinlẹ Oyo ọdun 2017 dabaa ẹwọn ọdun mẹẹdogun fun ẹnikẹni ti o ba jẹbi ẹsun ilẹ gbigba.</t>
  </si>
  <si>
    <t>Makinde kede akanṣẹ iṣẹ ṣiṣẹ ina soju popo nipinlẹ Oyo eyi ti ijọba ni awọn yoo na N28.3bn le lori.</t>
  </si>
  <si>
    <t>Gomina ipinlẹ sọ pe ina oju popo ṣe pataki gan an, ati pe ṣiṣe ina oju popo yii jẹ apa keji akanṣẹ iṣẹ naa lati igba to ti de ipo gomina.</t>
  </si>
  <si>
    <t>Makinde ni ina oju popo ṣe pataki fun abo araalu, bakan naa ni o sọ pe ina oju popo yoo tun jẹ ki ọrọ aje ipinlẹ Oyo gberu si i.</t>
  </si>
  <si>
    <t>Ti ina ko ba ṣẹju fun wakati mẹrinlelogun, awọn oṣiṣẹ eleto abo yoo le ṣiṣẹ wọn daadaa, awọn ọlọja naa yoo lanfaani lati ta ọja wọn.</t>
  </si>
  <si>
    <t>Ṣugbọn ọpọ araalu lo ti sọ pe awọn ko ri ina lalẹ lọpọ oju popo ni agbegbe awọn nipinlẹ Oyo.</t>
  </si>
  <si>
    <t>Ọpọ eeyan nipinlẹ Oyo lo ti kọminu lori bi ko ṣe sawọn nnkan amayedẹrun lawọn ile ẹkọ nipinlẹ naa.</t>
  </si>
  <si>
    <t>Iṣẹ iwadii kan fidi rẹ mulẹ pe ọpọ ile ẹkọ alakọbẹrẹ ni ipinlẹ Oyo ni ko ni ile iyagbẹ, omi to dara lati mu atawọn nnkan amayedẹrun mii.</t>
  </si>
  <si>
    <t>Iwadii naa sọ pe ọpọ awọn to wa nijọba lonii lo ti jẹ anfaani ijọba gidi to pese eto ẹko to ye kooro fun, amọ, ti wọn ti kuna lati ṣe iru eto ti wọn janfaani rẹ fun araalu bayii.</t>
  </si>
  <si>
    <t>Ọpọ ile ẹkọ nipinlẹ Oyo ni a gbọ pe awọn akẹkọọ maa n wa omi kiri adugbo ki wọn to le ri omi lo.</t>
  </si>
  <si>
    <t>Lara ẹka ti ọpọ ti n sọ pe ijọba Makinde ko ṣe daadaa to nibẹ lati ọdun mẹfa to ti jẹ gomina ipinlẹ Oyo ni ẹka eto ilera.</t>
  </si>
  <si>
    <t>Iwadii fi han pe oṣiṣẹ eleto ilera 2,149 pere lo n ṣiṣẹ ni gbogbo ile iwosan alabọde to wa ni gbogbo ijọba mẹtalelọgbọn to wa nipinlẹ Oyo.</t>
  </si>
  <si>
    <t>Awọn akọṣẹmọṣẹ nipa imọ iṣegun ni iya awọn eeyan yii kere gan an ti a ba wo iye araalu ti wọn maa tọju.</t>
  </si>
  <si>
    <t>Bi o tilẹ jẹ pe ajọ to n seto adojutofo lẹka eto ilera, OYSHIA wa amọ ọpọ awọn eeyan ipinlẹ Oyo ni ko ni igbẹkẹle ninu awọn ile iwosan ijọba nitori ipo ti wọn wa.</t>
  </si>
  <si>
    <t>Ile iwosan aladaani lawọn kan maa n gbe ẹbi wọn to ba n ṣaisan lọ.</t>
  </si>
  <si>
    <t>Atunse ọna laarin igboro Ibadan Lara awọn nnkan ti araalu n gboriyin fun Makinde fun ni ṣiṣe oniruuru ọna ni igboro ilu Ibadan wa.</t>
  </si>
  <si>
    <t>Makinde ni akanṣe iṣẹ ọna ṣiṣe ti ijọba oun gunle jẹ ọna kan gboogi lati pese ohun amayedẹrun fun araalu ilu.</t>
  </si>
  <si>
    <t>Gomina sọrọ yii nigba to n ṣi ọna kilomita 38.48 laarin ilu Ibadan eyi ti o ṣatunṣe rẹ.</t>
  </si>
  <si>
    <t>Lara awọn ọna naa lo gba ibudokọ ile itura D'Rovans, Ring Road.</t>
  </si>
  <si>
    <t>Bakan naa ni Makinde tun ṣatunṣe awọn ọna ni ẹkun iwọ oorun guusu ilu Ibadan, iwọ oorun ariwa Ibadan to fi mọ ila oorun guusu Ibadan.</t>
  </si>
  <si>
    <t>Ko tan sibẹ, ijọba Makinde tun ṣe ọna lawon ilu mii to wa nipinlẹ Oyo.</t>
  </si>
  <si>
    <t>Lara iru awọn ọna bẹẹ ni ọna to lọ si ilu Iseyin lati Ogbomoso.</t>
  </si>
  <si>
    <t>Lara nnkan ti ọpọ eeyan ipinlẹ fẹran nipa ijọba Makinde ni sisan owo oṣu ati ajẹmọnu awọn oṣiṣẹ wa.</t>
  </si>
  <si>
    <t>Bakan naa ni ijọba Makinde n san owo awọn oṣiṣẹfẹyinti ni ipinlẹ Oyo deede.</t>
  </si>
  <si>
    <t>Ṣaaju ni gomina ti sọ pe eto ọrọ aje ipinlẹ Oyo ti duro daadaa tori bii ijọba oun ṣe n fi N24bn sanwo oṣu awọn oṣiṣẹ ipinlẹ ati ijọba ibilẹ loṣooṣu.</t>
  </si>
  <si>
    <t>Makinde ni eleyii ti jẹ ki ọpọ awọn olokowo wa da dokowo kaakiri ipinlẹ Oyo.</t>
  </si>
  <si>
    <t>Gomina rọ awọn araalu lati maa ba ara wọn gbe ni alaafia tori ninu alaafia ni idagbasoke wa.</t>
  </si>
  <si>
    <t>Iyalẹnu lo jẹ fun ọpọ eeyan lẹyin ti Makinde ṣatilẹyin fun Tinubu ninu ibo aarẹ ọdun 2023, bo tilẹ jẹ pe ẹgbẹ APC lẹgbẹ Tinubu.</t>
  </si>
  <si>
    <t>Nigba ti o n sọ idi ti o fi ṣe bẹẹ, Makinde to jẹ ọmọ ẹgbẹ PDP ni ṣiṣe atilẹyin fun Tinubu ninu ibo aarẹ ṣe pataki fun eto oṣelu Naijiria.</t>
  </si>
  <si>
    <t>Gomina ipinlẹ Oyo sọ pe ododo, ati aiṣegbe lẹyin ẹnikan loun duro fun.</t>
  </si>
  <si>
    <t>Makinde iṣọkan orilẹede Naijiria lo jẹ oun logun, ati pe oun n fẹ orilẹede ti yoo fun gbogbo eeyan lanfaani lai fi ti ẹya ṣe.</t>
  </si>
  <si>
    <t>Gomina ipinlẹ Oyo ni idi niyii toun fi ṣe atilẹyin fun Tinubu ninu ibo aarẹ ọdun 2023.</t>
  </si>
  <si>
    <t>Sisọ papakọ ofurufu Samuel Ladoke Akintola di ti agbaye jẹ ọkan lara awọn akanṣe iṣẹ ti Makinde ṣe tawọn eeyan fi n gboriyin fun un.</t>
  </si>
  <si>
    <t>Ni ẹka jẹka ni iṣẹ to ti bẹrẹ lori papakọ ofurufu lati oṣu kẹsan ọdun 2024 ṣe n lọ.</t>
  </si>
  <si>
    <t>Ni oṣu Kẹfa ọdun 2026 ni ijọba ipinlẹ Oyo sọ pe iṣẹ yoo pari lori papakọ ofurufu naa.</t>
  </si>
  <si>
    <t>Ijọba ni awọn eeyan yoo lanfaani lati maa rinrin ajo lati papakọ ofurufu naa lọ si ibikiki to wu wọn ki ọdọ 2025 yii to pari.</t>
  </si>
  <si>
    <t>Makinde ni papakọ ofurufu yii yoo jẹ ki ọpọ eeyan to rinrin ajo kaakiri agbaye maa wa si ipinlẹ Oyo.</t>
  </si>
  <si>
    <t>Gomina ipinle Oyo ti sọ pe ko din ni 80,000 akẹkọọ to ti pada sile ẹkọ lẹyin ti ijọba oun ni kawọn obi ma san N3,000 ti wọn maa n san lori ọmọ kọọkan mọ.</t>
  </si>
  <si>
    <t>Ti ẹ o ba gbagbe, lẹyin ti Makinde wọle ibo gomina tan lọdun 2019 ni o kede pe kawọn akẹkọọ ma san owo naa mó.</t>
  </si>
  <si>
    <t>Makinde ni o ṣe eleyii lati ri pe gbogbo ọmọde ni ipinlẹ Oyo lo lanfaani lati lọ ile ẹkọ.</t>
  </si>
  <si>
    <t>Gomina ipinlẹ Oyo ni ohun tun ṣe eleyii lati jẹ ki eto ẹkọ rinlẹ si nipinlẹ naa.</t>
  </si>
  <si>
    <t>Ẹgbẹ awọn olukọ nipinlẹ Oyo, NUT, ti gboriyin fun Makinde lori bi o ti gba olukọ 19,500 siṣẹ laarin odun marun un.</t>
  </si>
  <si>
    <t>Ẹgbẹ NUT ni ẹgbẹrun marun un olukọ ni Makinde gba siṣẹ ni saa akọkọ ti o lo gẹgẹ gẹgẹ bii gomina.</t>
  </si>
  <si>
    <t>Bakan naa ni ẹgbẹ naa ṣalaye pe ẹgbẹrun mẹrinla ati abọ olukọ ni Makinde to gba siṣẹ bayii ni saa keji ijọba rẹ.</t>
  </si>
  <si>
    <t>NUT ni igbesẹ ijọba yii yoo wa ojutuu si iṣoro aito olukọ to n koju eto ẹjọ alakọbẹrẹ ati girama nipinlẹ Oyo.</t>
  </si>
  <si>
    <t>Ko din ni eeyan 902 to jẹ awọn oṣiṣẹ ijọba mii ti Makinde tun gba siṣẹ.</t>
  </si>
  <si>
    <t>Ileẹjọ giga ijọba apapọ niluu Abuja ti gba ẹri fọnran mẹta ti ọkan lara wọn ṣafihan bi olori ẹgbẹ IPOB, Nnamdi Kanu, ṣe n ṣayẹwo irinṣẹ igbohusafẹfẹ ileeṣẹ redio ti wọn fẹsun kan an pe o ko wọ Naijiria lọna aitọ.</t>
  </si>
  <si>
    <t>Eyi jẹ nnkan pataki to ṣẹlẹ nibi igbẹjọ Kanu lori ẹsun igbesunmọmi ti ijọba fi kan an.</t>
  </si>
  <si>
    <t>Irinṣẹ igbohusafẹfẹ ileeṣẹ redio naa, ''Tram 50L,'' ni a gbọ pe o wa ni ilu Ubuluisiuzor nijọba ibilẹ Ihiala nipinlẹ Anambra nibi ti wọn ni Kanu ti ṣayẹwo irinṣẹ naa.</t>
  </si>
  <si>
    <t>Ẹlerii kẹta ti wọn pe orukọ rẹ ni Ọgbeni CCC, to jẹ oṣiṣẹ ajọ DSS sọ fun ile ẹjọ wi pe irọ to jinna si ootọ ni ọrọ ti Kanu sọ pe DSS dunkoko mọ oun lati jẹwọọ nnkan toun o ṣe.‎‎ Ẹlẹrii tun sọ fun ile ẹjọ wi pe orukọ awọn oṣiṣẹ DSS to ṣe ifọrọwanilẹnuwo pẹlu Kanu ni Ọgbẹni James, Ọgbẹni Ibrahim ati Ọgbẹni Collins.</t>
  </si>
  <si>
    <t>Ohun ti a gbọ ni pe Kanu ni ajọ DSS lo fipa moun lati pe Aarẹ tẹrẹri Goodluck Jonothan ati Muhammadu Buhari ni orukọ ti ko ṣe e gbọ leti, ti o si tun ni Sẹnẹtọ Rochas Okorocha lo sọ awọn eeyan rẹ di musulumi.</t>
  </si>
  <si>
    <t>Ẹlẹrii ajọ DSS fikun ọrọ rẹ pe lasiko ifọrọwanilẹnu ti Kanu ṣe lo ti pe orilẹede Naijiria ni ọgba ẹranko.</t>
  </si>
  <si>
    <t>Akọsilẹ awọn ọrọ yii ati awọn fọnran ọrọ ti Kanu ni wọn ko wa siwaju ile ẹjọ gẹgẹ bii ẹri.</t>
  </si>
  <si>
    <t>Adajọ James Omotosho sọ ninu ọrọ rẹ wi pe ohun ti ofin sọ pe ti olujẹjọ ba fẹsun kan awọn olupẹjọ wi pe wọn fipa mu oun lati jẹwọ nnkan toun ko ṣe, ile ẹjọ gbọdọ fidi rẹ mulẹ bo ya loootọ ni ọrọ naa tabi ko ri bẹẹ.</t>
  </si>
  <si>
    <t>Lori ẹri fọnran mẹta ti igbimọ olupẹjọ ko wa si ile ẹjọ, Kanu gba wi pe oun loun ṣe idasilẹ Redio Biafra.</t>
  </si>
  <si>
    <t>Kanu sọ ninu ọkan lara awọn fidio naa wi pe ọpọ eeyan to gbagbo ninu ki ẹya Igbo ni orilẹede Biafra lo n ṣeranwọ owo fun ileeṣẹ redio Biafra.</t>
  </si>
  <si>
    <t>‎‎Lẹyin o rẹyin, Adajọ Omotosho, sun igbẹjọ si Ọjọbọ ọjọ kọkandinlọgbọn oṣu Karun un yii.</t>
  </si>
  <si>
    <t>Àjáàbalẹ̀ ìròyìn BBC News Yorùbá lórí WhatsApp rẹ Darapọ̀ mọ́ wa nibì End of podcast promotion Igbimọ agbọjọro to n ṣoju Kanu nile ẹjọ ti sọ pe igbẹjọ olori ẹgbẹ IPOB to n lọ lọwọ ko lẹsẹ nlẹ, bakan naa ni o lodi si ofin Naijiria ati ofin agbaye.</t>
  </si>
  <si>
    <t>Ninu atẹjade to Onyekachi Ifedi buwọlu lorukọ igbimọ ẹgbẹ IPOB to n ri si ọrọ, awọn agbẹjọro naa sọ pe bi igbẹjọ ọhun ṣe n waye niwaju Adajọ Omosho ko bofin mu rara.</t>
  </si>
  <si>
    <t>Igbimọ olujẹjọ Kanu sọ pe ẹka 76(1) ofin to da lori igbesunmọmi ọdun 2022 fidi rẹ mulẹ pe ẹnikẹni ti wọn ba fẹsun igbesunmọmi kan ko le jẹjọ lori ẹsun naa, ayafi ti igbẹjọ rẹ ba ti kọkọ waye ni orilẹede ilẹ okeere ti wọn ti mu un wale loku.</t>
  </si>
  <si>
    <t>Awọn agbẹjọro Kanu ni igbẹjọ igbesumọmi rẹ ko tii waye ni Kenya ti wọn ti gbe e wa si Naijiria, eyi to tumọ si pe igbẹjọ to n waye ni Naijiria bayii lodi sofin.</t>
  </si>
  <si>
    <t>Igbimọ olujẹjọ Kanu tun sọ pe bi wọn ṣe gbe Kanu pada si Naijiria lati orilẹede Kenya gan an lodi sofin.</t>
  </si>
  <si>
    <t>Awọn agbẹjọro Kanu tun sọ pe ẹka 45 ofin ile ẹjọ giga ijọba apapọ fidi rẹ mulẹ pe igbẹjọ ẹsun igbesunmọmi gbọdọ waye nibi ti ẹni ti wọn ba fẹsun kan ti ṣẹ.</t>
  </si>
  <si>
    <t>Wọn ni orilẹede UK ati Kenya ti ijọba apapọ sọ pe ẹsun igbesunmọmi ti wọn fi kan Kanu ti waye.</t>
  </si>
  <si>
    <t>Igbimọ agbẹjọro Kanu sọ pe ko yẹ ki igbẹjọ naa ko maa waye niluu Abuja rara labẹ ofin.</t>
  </si>
  <si>
    <t>Awọn agbẹjọro naa wa kepe ijọba apapọ lati fopin si igbẹjọ naa tori o lodi sofin.</t>
  </si>
  <si>
    <t>Wọn ni oju ti ko sunwọn lawọn amofin yoo fi maa wo orilẹede Naijiria ti ijọba ko ba fopin si igbẹjọ naa niluu Abuja.</t>
  </si>
  <si>
    <t>Lara nnkan tawọn onilu to wa nibi ipade Atiku ati Aregbesola naa n fi ilu sọ ni pe ''Tinubu yoo lulẹ ninu idibo ọdun 2027.'' Nile Aregbesola ni Atiku ti jẹun aarọ pẹlu gomina ipinlẹ Osun tẹlẹri lọjọ naa pẹlu awọn alẹnulọrọ lagbo oṣelu.</t>
  </si>
  <si>
    <t>Alhaji Namadi Sambo, toun naa ti figba kan ri jẹ igbakeji aarẹ orilẹede Naijiria lasiko ijọba Goodluck Jonathan naa kọwọọ rin pẹlu Atiku lọ sile Aregbesola.</t>
  </si>
  <si>
    <t>Aregbesola atawọn alejo rẹ wa lori ijokoo ninu ile igbalejo rẹ nigba tawọn onilu bẹrẹ sii fi ilu sọ pe ''Tinubu maa lulẹ lọdun 2027'' eyi to tumọ si pe Aarẹ Bola Tinubu yoo fidirẹmi ninu ibo aarẹ ọdun 2027.</t>
  </si>
  <si>
    <t>Atiku gan an lo fi fidio bi Aregbesola ṣe ki i kaabọ sile rẹ atawọn abẹnugan lagbo oṣelu sori oju opo X rẹ.</t>
  </si>
  <si>
    <t xml:space="preserve"> Lara awọn eeyan to ki Atiku kaabọ pẹlu Aregbesola ni adari ile igbimọ aṣofin ipinlẹ Osun tẹlẹ, Họnọrebu Najeem Salaam ati akọwe ijọba ipinlẹ Osun tẹlẹ, Alhaji Moshood Adeoti.</t>
  </si>
  <si>
    <t>Awọn oloṣelu mii to wa nibẹ ni Sẹnẹtọ Adelowo Oriolowo to ṣoju ẹkun guusu Osun tẹlẹ nile aṣofin agba l'Abuja, alaga ẹgbẹ oṣelu Aregbesola ti n ko jọ, Alhaji Isaa Adesiji atawọn oloṣelu mii ti wọn ṣiṣẹ pọ pẹlu Aregbe lasiko to jẹ gomina ipinlẹ Osun.</t>
  </si>
  <si>
    <t>Bakan naa ni Wike tun fẹsun kan Gomina Seyi Makinde ti ipinlẹ Oyo pe oun lo n fa ọpọ wahala to n ja ẹgbẹ oṣelu PDP nitori bo ṣe kuna lati ko ipa tirẹ lori adehun ti wọn jọ fẹnuko le lori.</t>
  </si>
  <si>
    <t>Wike wa ṣapejuwe Makinde, Mba ati awọn mii ninu ẹgbẹ oṣelu PDP gẹgẹ bii ọdalẹ.</t>
  </si>
  <si>
    <t>Ninu atẹjade kan ti Wike gbe soju opo ayelujara X ni gomina ipinlẹ Rivers tẹlẹ naa ti fẹsun kan awọn agbagba ẹgbẹ oṣelu PDP bi Gomina ipinlẹ Enugu, Peter Mbah, to ṣapejuwe wọn gẹgẹ bii ọdalẹ, alailootọ ati awọn ẹsun mii to ni ṣe pẹlu yiyẹ adehun.</t>
  </si>
  <si>
    <t>Orisun rogbodiyan to n lọ ninu ẹgbẹ oṣelu lo bẹrẹ lẹyin eto idibo ọdun 2023, ti minister ọhun si ṣe ileri pe oun ko ni jawọ ninu ija titi oun yoo fi ri idajọ ododo gba.</t>
  </si>
  <si>
    <t>"Mo sọ fun Gomina ipinlẹ O yo, Seyi Makinde pe oun oludasilẹ iṣoro wa, ti mo si ṣalaye fun pe ai mojuto adehun to wa lati ọwọ rẹ lo fa rogbodiyan yii, to si jẹ pe oun ni olori mọdaru," Wike ṣalaye.</t>
  </si>
  <si>
    <t>"Lẹyin ipade yii, a ṣe ipade miiran niluu Abuja, nibẹ ni emi, Gomina Seyi Makinde, Umaru Fintri, Bala Mohammed, ati Bukola Saraki, ni ile itura Saraki.</t>
  </si>
  <si>
    <t>Ninu ipade naa, mo jẹ ko di mimọ pe n ko ni iṣoro kankan pẹlu gomina Bala Muhammed yatọ si pe o ṣa pamọ si abẹ orule pe o jẹ alaga awọn gomina PDP to tọwọ adehun.</t>
  </si>
  <si>
    <t>"Ipade yii ni o kun fun ọpọ ariwo, ti a si se gbogbo ohun to yẹ lati jẹ ki alaafia jọba.</t>
  </si>
  <si>
    <t>Ni ipari ipade naa, a fẹnuko lori awọn wọn yii; Lẹyin gbogbo eyi, Wike ni wọn bẹ oun pe ki oun lọ fun ipade ni ile ijọba nipinlẹ Bauchi, ti a si yan igbimọ ti HE, Bukola Saraki jẹ olori fun lati yanju awọ ẹgbẹ oṣelu PDP.</t>
  </si>
  <si>
    <t>Wike oun to ju oun pupọ ni pe saaju ki igbimọ Gomina Bukola Saraki to waye ni awọn adehun ti wọn fẹnuko le lori ni ile Itura Saraki ti ni ọwọ ninu.</t>
  </si>
  <si>
    <t>This article contains content provided by X.</t>
  </si>
  <si>
    <t>We ask for your permission before anything is loaded, as they may be using cookies and other technologies.</t>
  </si>
  <si>
    <t>You may want to read Xcookie policyandprivacy policybefore accepting.</t>
  </si>
  <si>
    <t>To view this content choose 'accept and continue'.</t>
  </si>
  <si>
    <t>End of X post Content is not available Lẹyin ti Minisita fun olu ilu Abuja, Nyesom Wike, sọ oko ọrọ sita, nibi to ti fẹsun kan Seyi Makinde pe o jẹ ọdalẹ, to si tun jẹ ọkan gboogi ninu awn eeyan to n da wahala silẹ ninu ẹgbẹ oṣelu PDP.</t>
  </si>
  <si>
    <t>BBC Yoruba kan si igun Seyi Makinde, Gomina Ipinlẹ Oyo, lati mọ esi to fẹ fọ sawọn ẹsun ti Wike fi kan an ati orukọ buruku to sọ.</t>
  </si>
  <si>
    <t>Amọ ikọ iroyin MAkinde sọ fun BBC Yoruba pe oun ko ni nkankan lati sọ nipa awọn ẹsun ti Wike gbe sori ayelujara.</t>
  </si>
  <si>
    <t>Agbẹnusọ Makinde to ba wa sọrọ ni Makinde ko ni ohunkohun lati sọ sita lori ọrọ Wike.</t>
  </si>
  <si>
    <t>Pẹlu bi ọfiisi awọn oṣiṣẹ ijọba ibilẹ ṣe wa ni titipa lati ọjọ keje, oṣu Keji ọdun yii, koriko ti n digbo sinu awọn ọgba ofiisi naa.</t>
  </si>
  <si>
    <t>Bi ẹ ko ba gbagbe, idajọ ile-ẹjọ Ko-tẹmi-lọrun to fi ikalẹ si ilu Akure, nipinlẹ Ondo, lo fa titipa naa.</t>
  </si>
  <si>
    <t>Ṣugbọn iroyin sọ pe owo oṣu awọn osisẹ ijọba ibilẹ ati awọn alaga ti ko ni anfaani lati wọ ofiisi naa ko duro lati igba naa.</t>
  </si>
  <si>
    <t>BBC Yoruba kan si ẹgbẹ oselu APC lati mọ bo se n lọ labala ọdọ wọn.</t>
  </si>
  <si>
    <t>Jamiu Olawumi, ọkan gboogi ninu ẹgbẹ oselu APC Osun, ṣalaye pe ijọba Gomina Ademola Adeleke n tan ara wọn jẹ ni.</t>
  </si>
  <si>
    <t>Olawumi ni awọn ko mọ ọna ti Gomina Adeleke n gba sanwo osisẹ ati awọn Alaga ijọba Ibilẹ to bura wọle fun.</t>
  </si>
  <si>
    <t>O ni gbogbo owo awọn Alaga ijọba Ibilẹ wa ni banki apapọ ti ko si si ẹnikẹni to gba a.</t>
  </si>
  <si>
    <t>O fi kun un pe awọn Alaga ati Kansilọ ti ile ẹjọ Ko-tẹmi-lọrun da pada ni wọn n lọ si ọfiisi wọn.</t>
  </si>
  <si>
    <t>Wọn yoo si bẹrẹ si i gba owo oṣu ka too ri ọjọ diẹ, nitori banki apapọ ti beere awọn ẹri kan lọwọ wọn ti wọn si yege.</t>
  </si>
  <si>
    <t>Olawumi lo ṣalaye bẹẹ.</t>
  </si>
  <si>
    <t>Komiṣanna eto Iroyin nipinlẹ Ọsun, Kolapo Alimi, ṣalaye pe awọn ẹgbẹ oselu APC lo n da omi alaafia ìjọba ibilẹ Osun ru.</t>
  </si>
  <si>
    <t>O ni eyi ri bẹẹ latari bi wọn ko se ni òye ohun ti ile ẹjọ Ko-tẹmi-lọrun sọ lọjọ kẹwaa, osu Keji ọdun yii.</t>
  </si>
  <si>
    <t>Alimi fi kun ọrọ rẹ pe, ohun ti awọn ẹgbẹ oselu APC ko fẹ ṣe ni wọn pada ṣe latari bi wọn ṣe tun gba ile ẹjọ lọ lori ọrọ naa.</t>
  </si>
  <si>
    <t>O ni loootọ ni ijọba Gomina Ademola Adeleke n sanwo awọn osisẹ ijọba ibilẹ, ṣugbọn ọna ti awọn n gba sanwo naa ko kan ẹnikẹni rara.</t>
  </si>
  <si>
    <t>Kọmiṣanna eto iroyin Osun naa sọ pe aala ni yoo fi oko ọlẹ han laipẹ yii.</t>
  </si>
  <si>
    <t>Kwankwaso sọ pe apa guusu ni Tinubu n ṣe oniruuru iṣẹ idagbasoke si nigba to gbe ọrọ ẹkun ariwa pati.</t>
  </si>
  <si>
    <t>Kwankwaso fidi ọrọ yii mulẹ níbi ipade awọn alẹnulọrọ to waye nílùú Kano l'Ọjọbọ ọjọ kẹrinlelogun oṣu keje yii.</t>
  </si>
  <si>
    <t>The APC again took the matter to the Court of Appeal, where judgment was delivered on February 10, 2026</t>
  </si>
  <si>
    <t>Kwankwaso ni ọpọ ọna lapa ariwa lo ti bajẹ tan, o ni o wa jẹ pe lasiko ti ijọba Tinubu n nawo rọgun rọgun sori oriṣiiriṣii akanṣe iṣẹ lẹkun guusu Naijiria ni eyi n ṣẹlẹ.</t>
  </si>
  <si>
    <t>Dare ni lara awọn ẹri to fidi rẹ mulẹ pe Tinubu ko dẹyẹ si apa ariwa ni iṣẹ lori ọna mọrosẹ lati Abuja si Kaduna to fi de Kano to n lọ lọwọ.</t>
  </si>
  <si>
    <t>Iṣẹ lori ọna mọrosẹ Sokoto si Badagry ati iṣẹ lori ọpa to n gbe gaasi lati Ajaokuta si Kaduna to fi de Kano tun jẹ akanṣe iṣẹ mii ti ijọba Tinubu n ṣe lapa ariwa.</t>
  </si>
  <si>
    <t>Ọgbeni Dare ni ijọba n ṣe oriṣiiriṣii iṣẹ idagbasoke kaakiri ẹkun ariwa Naijiria.</t>
  </si>
  <si>
    <t>Ọgbẹni Dare ko ṣai fidi rẹ mulẹ pe ìjọba àpapọ̀ tun ti na $158.15m lori eto ọgbin ni ipinlẹ mẹsan an lapa ariwa.</t>
  </si>
  <si>
    <t>Bakan naa ni oludamọran aarẹ tun sọ nípa àwọn iṣẹ ti ijọba apapọ ti ṣe lẹka eto iiera.</t>
  </si>
  <si>
    <t>Dare ni diẹ lara awọn iṣẹ naa ni imugbooro ile ẹkọ ẹkọṣé ìṣẹgun fasiti ABU, Zaria, ti fasiti UNIJOS naa ati ile iwosan FMC to wa ni Nguru.</t>
  </si>
  <si>
    <t>Oludamọran aarẹ tun ni ko din ni ẹgbẹrun kan ile iwosan alabọde ti ijọba apapọ ti taji l'ẹkun Ariwa.</t>
  </si>
  <si>
    <t>Ọgbẹni Dare tun sọ nípa iṣẹ ti ijọba n ṣe lori opopona Kaduna sí Jos, Kano sí Maiduguri at'awọn àtúnṣe àwọn ọna n'ipinlẹ Adamawa ati Borno.</t>
  </si>
  <si>
    <t>Oludamọran aarẹ ni ọna reluwee lati Kaduna sí Kano to fi de Maradi naa ko gbẹyin.</t>
  </si>
  <si>
    <t>Oludije fun ipo aarẹ f'ẹgbẹ oṣelu NNPP lọdun 2023, Rabiu Musa Kwankwaso ti sọ pe ìjọba Aarẹ Bola Tinubu ti pa ẹkùn Ariwa Naijiria ti fún iṣẹ idagbasoke.</t>
  </si>
  <si>
    <t>Kwankwaso to tun jẹ gomina ipinlẹ Kano tẹlẹ ri sọ pe apa guusu Naijiria ni Tinubu ti n ṣe oniruuru iṣẹ idagbasoke.</t>
  </si>
  <si>
    <t>Ohun ti a gbọ ni pe bi idaji eto ìṣúná Naijiria lo n lọ si ẹkun kan ṣoṣo ni Naijiria.</t>
  </si>
  <si>
    <t>Ẹ jẹ kí n ran awọn ti wọn n wa gbogbo ọna lati ja ìjọba lole pe aito owo jẹ ọkan lara ìṣòro tí Naijiria n dojú kọ, nigba t'awọn mii si tun n ṣe ọwọ owo to wa kumọ kumọ.</t>
  </si>
  <si>
    <t>Ara nnkan bayii lo n ṣokunfa eto abo to mẹhẹ, ebi to n pa araalu at'awọn ìṣòro mii," Kwankwaso lo sọ bẹẹ.</t>
  </si>
  <si>
    <t>Kwankwaso wa kepe Tinubu lati ri pe o n lo ọrọ orilẹede Naijiria fun idagbasoke gbogbo ẹkun to wa ni Naijiria.</t>
  </si>
  <si>
    <t>Kwankwaso sọrọ yii lasiko t'awọn eeyan kan n sọ pe APC n fa oju rẹ mọra ki í lè darapọ mọ ẹgbẹ naa.</t>
  </si>
  <si>
    <t>Eyi lo si ti jẹ kí ọpọ maa sọ pe ti Tinubu ati ẹgbẹ oṣelu APC ko ba ni ibasepọ to dan moran pẹlu rẹ, o ṣee ṣe ki Kwankwaso sí duro sinu ẹgbẹ NNPP.</t>
  </si>
  <si>
    <t>Amọ, ọpọ lo ti n sọ pe ọrọ naa lọwọ oselu ninu torí Kwankwaso lo ti n sọ fun ìjọba awọn nnkan to yẹ kí wọn ṣe lapa Oke Oya ni Naijiria.</t>
  </si>
  <si>
    <t>Láìpẹ́ yìí ni awọn fọto kan lu ori ayelujara pa eyi to ṣafihan bi Kwankwaso ṣe n gba awọn oloṣelu kan ti wọn pe ni ọmọ ẹgbẹ APC tẹlẹ sinu NNPP.</t>
  </si>
  <si>
    <t>Kwankwaso tun sọ laipẹ yii pe ko sí ìdí foun lati darapọ mọ ẹgbẹ ti ko bikita nipa awọn ti oṣi ati iṣẹ n ba finra.</t>
  </si>
  <si>
    <t>Amọ, lati igba ti Abdullahi Ganduje ti kọwe fipò silẹ gẹgẹ bii alaga apapọ APC lawọn ọmọlẹyìn Kwankwaso ti n sọ pe ibi to ba lọ lawọn naa yoo tẹle lọ.</t>
  </si>
  <si>
    <t>Ọpọ onimọ nipa eto oselu woye pe ọrọ naa wi pe ọ ni ṣe pẹlu didarapọ mọ ẹgbẹ oṣelu mii.</t>
  </si>
  <si>
    <t>Awọn aṣofin naa sọ pe omi alaafia ẹgbẹ naa ti ko tooro, aini igbẹkẹle ninu awọn adari, ati aisi airdaju ọjọ ọla to dara fun ẹgbẹ naa, lo mu ki awọn kuro.</t>
  </si>
  <si>
    <t>Igbesẹ yii ni awọn onimọ nipa oṣelu ti n woye pe yoo fun ẹgbẹ to n ṣe iṣakoso ni Naijiria, APC, ni anfaani lati ni ọmọ ẹgbẹ to pọ ju lọ ni ile aṣofin mejeeji, ti yoo si tun mu ko ṣe e ṣe fun wọn lati maa tẹwọ gba awọn nnkan ti awọn alaṣẹ ijọba ba n fẹ lai si atako kankan.</t>
  </si>
  <si>
    <t>Nigba to n tẹwọgba wọn, Aarẹ ile aṣofin agba, Sẹnetọ Godswill Akpabio, sọ pe aisi eto to yẹ ati amojuto to peye lo mu ki awọn aṣofin ọhun fi PDP silẹ.</t>
  </si>
  <si>
    <t>Sẹnetọ mẹta pere lo nilo si i lati le gbe igbesẹ kankan nile aṣofin lai si jẹ pe awọn ọmọ ẹgbẹ alatako da si i.</t>
  </si>
  <si>
    <t>Iye awọn sẹnetọ to ti fi ẹgbẹ oṣelu wọn silẹ darapọ mọ APC: Ibrahim Abdullahi Danbaba lati ipinlẹ Sokoto - PDP si APC Ifeanyi Ubah YPP si APC, ṣaaju iku rẹ.</t>
  </si>
  <si>
    <t>Ned Munir Nwoko lati ipinlẹ Delta kuro ni PDP lọ si APC.</t>
  </si>
  <si>
    <t>Ezenwa Onyewuchi lati ipinlẹ Imo fi LP silẹ lọ si APC.</t>
  </si>
  <si>
    <t>Kawu Sumaila lati ipinlẹ Kano kuro ni NNPP lọ si APC.</t>
  </si>
  <si>
    <t>Awọn aṣofin naa to kuro ni Ọjọru ni: Ọnarebu Ajilesoro Taofeek Abimbola lati ipinlẹ Osun Ọnarebu Omirin Olusanya lati ipinlẹ Osun Ọnarebu Marcus Onobu lati ipinlẹ Edo Gẹgẹ bi awọn akẹgbẹ wọn, Olori ile aṣofin naa, Tajudeen Abass, nigba to n ka lẹta wọn, sọ pe rogbodiyan to wa ninu ẹgbẹ PDP ati aisi ireti to ba ẹgbẹ naa lo mu ki wọn  o kuro.</t>
  </si>
  <si>
    <t>Orukọ awọn aṣofin to ti darapọ mọ APC bayii: Lọwọlọwọ, ẹgbẹ APC ni ọmọ ile igbimọ aṣoju-ṣofin 210, lẹyin ti wọn ri ọmọ ẹgbẹ 48 gba si i nitori awọn to fi ẹgbẹ oṣelu wọn silẹ, paapaa Peoples Democratic Party.</t>
  </si>
  <si>
    <t>Nnkan ti eyi tumọ si ni pe o ṣe e ṣe ki APC ni ọmọ ẹgbẹ to pọ julọ paapaa bo sẹ ni 240 ninu 360.</t>
  </si>
  <si>
    <t>Eyi yoo si fun wọn ni anfaani lati ma a fi ontẹ lu nnkan ti awọn alaṣẹ ijọba ba n fẹ lai si atako kankan.</t>
  </si>
  <si>
    <t>"Gbogbo abaa to ba n wa lati ọdọ rẹ ni yoo ma a gba ontẹ lai si atako kankan.</t>
  </si>
  <si>
    <t>"Gbogbo abaa ti awọn aṣofin naa ba n da yoo jẹ eyi ti yoo ṣe  aarẹ ati ẹgbẹ APC l'anfaani." Ọmọwe Sufi tun sọ pe eyi yoo din agbara ẹgbẹ alatako ijọba rẹ ku nile aṣofin.</t>
  </si>
  <si>
    <t>O ni kii ṣe nnkan to dara ti ko ba si ẹgbẹ alatako laarin awọn aṣofin "nitori pe nibẹ ni wọn ti n jiroro lori awọn igbesẹ to le tun orilẹede ṣe tabi ṣakoba fun.</t>
  </si>
  <si>
    <t>"Bi igba ti wọn pa ohun mọ awọn araalu lẹnu ni ti ko ba ti si agbara lọwọ alatako mọ ọ." Ọmọwe Sufi ṣalaye pe, adari ilu ma n nilo ohun alatako nigba mii lati pe akiyesi rẹ si aṣiṣe, paapaa to ba jẹ nnkan to le pa araalu lara.</t>
  </si>
  <si>
    <t>Lara akoba ti eyi le ṣe fun ijọba awaarawa ni pe, yoo sọ ile aṣofin di gbẹwu dani lọwọ ijọba, ti yoo ma a dari wọn si ibi to ba fẹ.</t>
  </si>
  <si>
    <t>Bakan naa ni ẹgbẹ to n ṣe ijọba yoo ma a ṣe nnkan to wu u.</t>
  </si>
  <si>
    <t>Ọjọ Iṣẹgun ọjọ kejilelogun, oṣu Keje, ni ile aṣofin naa ṣe agbekalẹ aba ofin ọhun ti wọn pe ni HB 2487.</t>
  </si>
  <si>
    <t>Aṣofin Amobi Godwin Ogah to ṣagbatẹru aba naa sọ fun awọn akọroyin wi pe, aba ofin yii yoo mu ni dandan fun awọn to wa nipo ijọba lati maa lo ile ẹkọ ati ile iwosan ijọba to ba di ofin tan.</t>
  </si>
  <si>
    <t>Ogah ni aba ofin naa yoo ṣe iranwọ fun igbedide awọn ile ẹkọ ati ile iwosan ijọba lati ri amojuto ti wọn nilo.</t>
  </si>
  <si>
    <t>Aṣofin naa ṣalaye pe ti awọn to wa nipo ijọba atawọn oṣiṣẹ ijọba ṣe n lo ile iwosan aladaani ni Naijiria ati loke okun wa lara idi ti eto ẹkọ ati eto ilera ko fi fẹsẹ mulẹ daadaa.</t>
  </si>
  <si>
    <t>Bakan naa ni Ogah fikun ọrọ rẹ wi pe, ile ẹkọ ijọba lawọn adari to ja fun ominira orilẹede Naijiria bii Sir Ahmadu Bello, Oloye Obafemi Awolowo, Ọmọwe Nnamdi Azikwe ati Tafawa Balewa lọ lasiko wọn.</t>
  </si>
  <si>
    <t>O ni eyi yatọ si nnkan ti ọpọ awọn to wa nipo ijọba lonii n ṣe ti wọn ko lọ ile ẹkọ ijọba tabi lo ile iwosan ijọba mọ.</t>
  </si>
  <si>
    <t>Àjáàbalẹ̀ ìròyìn BBC News Yorùbá lórí WhatsApp rẹ Darapọ̀ mọ́ wa nibì End of podcast promotion Ọgbẹni Ogah bu ẹnu atẹ lu obitibiti owo ti awọn ọmọ Naijiria n na lori eto ẹkọ ati eto ilera loke okun.</t>
  </si>
  <si>
    <t>O ni owo to le ni $29.29bn lawọn ọmọ Naijiria na lori itọju ara wọn lawọn ile iwosan ilẹ okeere lasiko ijọba Aarẹ Muhammadu Buhari.</t>
  </si>
  <si>
    <t>Bakan naa ni o tun sọ pe ko din ni $218.87m tawọn ọmọ Naijiria na lori eto ẹkọ nilẹ okeere lọdun 2023 nikan.</t>
  </si>
  <si>
    <t>Aṣofin Ogah ṣalaye siwaju sii pe N1.336tr ni owo ti ijọba ya sọtọ fun eto ilera nikan ninu eto iṣuna ọdun 2024, nigba tawọn ọmọ Naijiria n na owo ti ko din ni N1.6 tr lọdọọdun lori eto ilera nilẹ okeere.</t>
  </si>
  <si>
    <t>''Ohun to ba mu wa yọ owo iranwọ ori epo bẹntiroolu kuro, a gbọdọ ṣofin ti ko ni jẹ kawọn oṣiṣẹ ijọba atawọn to wa nipo ijọba ma dẹyẹ si ile ẹko ati ile iwosan ijọba naa,'' Ogah lo sọ bẹẹ.</t>
  </si>
  <si>
    <t>O ni nitori pe ọpọ eeyan to wa ni ijọba n lo soke okun fun itọju ara wọn ati fun eto ẹkọ ni ko jẹ ki awọn ile ẹkọ ẹkọṣẹ iṣegun duro daadaa mọ ni Naijiria.</t>
  </si>
  <si>
    <t>Aṣofin naa sọ pe ofin yii yoo mu adinku ba bi awọn ọmọ Naijiria ṣe n ku sile iwosan loke okun, ati pe yoo tun jẹ ki araalu ni igbagbọ ninu ile iwosan ijọba ni Naijiria.</t>
  </si>
  <si>
    <t>O wa rọ awọn ọmọ Naijiria atawọn akọroyin lati ṣe atilẹyin fun abadofin naa ko le di ofin.</t>
  </si>
  <si>
    <t>Igboho sọrọ yii lasiko to ṣabẹwo si Olugbon ti Orile Igbon, Ọba Francis Alao, ni aafin rẹ lọjọ Iṣẹgun ọjọ kejilelogun oṣu Keje yii.</t>
  </si>
  <si>
    <t>Owo Baba Dami lo anfaani abẹwo rẹ lati rọ kabiesi naa lati ṣe iranwọ fun un lori ati di ominira rẹ pada ni Naijiria.</t>
  </si>
  <si>
    <t>Igboho ni ''inu mi o dun wi pe n ko ni ominira lati rin nilẹ baba mi.</t>
  </si>
  <si>
    <t>Mo fẹ ki ijọba apapọ yọ orukọ mi kuro lara awọn afurasi ti wọn n wa tori mi kii ṣe ọdaran.</t>
  </si>
  <si>
    <t>Laipẹ yii ti mo lọ si olu ileeṣẹ orilẹede Naijiria ni Germany lati gba iwe irinna mi ni wọn sọ fun mi pe ijọba apapọ ti kọ lẹta sawọn pe mo wa lara awọn afurasi ti wọn n wa.</t>
  </si>
  <si>
    <t>Ohun ti mo fẹ ni pe mo fẹ ni ominira gẹgẹ bii ọmọ Naijiria.'' Bakan naa ni Igboho tun sọ pe eto abo to mẹhẹ nilẹ Yoruba n fẹ amojuto ni kiakia.</t>
  </si>
  <si>
    <t>Owo baba Dami ko ṣai dupẹ lọwọ kabiyesi Olugbọn fun atilẹyin ori-ade naa fun un lati ẹyin wa.</t>
  </si>
  <si>
    <t>Ọgbẹni Adeyemo ni ''Ọba Olugbọn wa lara awọn awọn ọba alaye to duro ti mi, mo mọ riri nnkan ti kabiyesi ṣe fun mi.'' Nigba to n sọrọ lori eto abo to mẹhẹ lapa iwọ oorun guusu Naijiria to jẹ ilẹ Yoruba, Igboho rọ ijọba apapọ lati yan awọn ẹṣọ eleto abo to to gbangba sun lọyẹ lati pese abo to peye nilẹ Yoruba.</t>
  </si>
  <si>
    <t>O rọ ijọba lati yan awọn to le ṣiṣẹ naa sipo tawọn to ba wa nibẹ ko ba le ṣe e daadaa.</t>
  </si>
  <si>
    <t>Igboho ni oun ṣetan lati ṣe atilẹyin fawọn ẹṣo eleto abo ti wọn ba gbe iṣẹ naa fun.</t>
  </si>
  <si>
    <t>Ẹwẹ, Kabiyesi Olugbọn ninu ọrọ rẹ ṣapujuwe Ighoho gẹgẹ ẹni to fẹran ilu rẹ denu ti o si kopa ninu igbiyanju lati jẹ ki iran Yoruba de ipo aarẹ Naijiria pada.</t>
  </si>
  <si>
    <t>Olugbọn fi da Igboho loju wi pe oun ṣetan lati ran an lọwọ, koda, ori-ade naa tun sẹleri lati ba Alaafin sọrọ lori ọrọ ọhun.</t>
  </si>
  <si>
    <t>''Sunday Igboho kii ṣe ọdaran, o kopa ninu igbiyanju lati ri pe ọmọ Yoruba de ipo aarẹ pada.</t>
  </si>
  <si>
    <t>Mo fi asiko yii rọ Aarẹ Bola Tinubu lati fori jin Sunday Igboho ki o le wa ni ominira pada.</t>
  </si>
  <si>
    <t>Bakan naa ni mo tun rọ gbogbo awọn gomina ilẹ Yoruba lati fohun ṣọkan ki wọn si ba aarẹ sọrọ lori ati fun Igboho ni ominira rẹ pada.</t>
  </si>
  <si>
    <t>Eyi ti Igboho ṣe niluu oyinbo ti to, a nilo rẹ nilẹ Yoruba bayii,'' Olugbọn lo sọ bẹẹ.</t>
  </si>
  <si>
    <t>Olugbọn ko ṣai rọ ijọba apapọ lati fi Igboho ṣe olori awọn ẹṣọ eleto abo nilẹ Yoruba nitori iriri rẹ.</t>
  </si>
  <si>
    <t>Ọba Alao ni oun yoo fi imọran naa ranṣẹ sawọn gomina ki wọn le sọ fun Aarẹ Tinubu.</t>
  </si>
  <si>
    <t>Nnkan ti Kemi sọ lọtẹ yii ni pe loootọ ni oun jẹ ọmọ Naijiria, amọ, awọn ọmọ ti oun bi si oke okun ko lanfaani lati jẹ ọmọ Naijiria.</t>
  </si>
  <si>
    <t>Kemi to jẹ ọmọbibi orilẹede Naijiria sọrọ yii lasiko to n ṣe ifọrọwanilẹnuwo pẹlu oniroyin Fareed Zakaria lori ẹrọ amohunmaworan CNN.</t>
  </si>
  <si>
    <t>Alaye lori bi yoo ṣe jẹ ko nira fawọn eeyan to n wa si UK lati ilẹ okeere bii Naijiria ni Kemi n sọ lori eto naa ti o fi mẹnu ba orilẹede Naijiria.</t>
  </si>
  <si>
    <t>Kemi fi Naijiria ṣe apẹẹrẹ wi pe loootọ loun jẹ ọmọ Naijiria nitori nibẹ lawọn obi oun ti wa, ṣugbọn awọn ọmọ ti oun bi si UK ko lanfaani lati jẹ ọmọ Naijiria nitori oun jẹ obinrin.</t>
  </si>
  <si>
    <t>Idi niyii ti BBC Yoruba fi ṣe atupalẹ nnkan ti iwe ofin Naijiria sọ lori jijẹ ọmọ oniluu ati awọn to lẹtọọ labẹ ofin lati jẹ ọmọ orilẹede Naijiria.</t>
  </si>
  <si>
    <t>Iwe ofin orilẹede Naijiria ti wọn ṣe atunṣe rẹ lọdun 1999 ṣe alakalẹ lori ẹni to le jẹ ọmọ Naijiria ati bi eeyan ti le di ọmọ Naijiria.</t>
  </si>
  <si>
    <t>Lori ọrọ ti Kemi Badenoch sọ, ọna mẹta ni eeyan fi le jẹ tabi di ọmọ orilẹede Naijira – nipasẹ bibi eeyan si Naijiria, nipasẹ siṣe iforukọsilẹ lati di ọmọ Naijiria ati nipasẹ ki ijọba sọ eeyan di ọmọ oniluu.</t>
  </si>
  <si>
    <t>Awọn alakalẹ yii wa ni abala 25, 26, ati ẹka 27 iwe ofin orilẹede Naijiria.</t>
  </si>
  <si>
    <t>Wọnyii ni atupalẹ nnkan ti awọn abala iwe Naijiria naa sọ lori didi ọmọ oniluu: Iwe ofin Naijiria ti ọdun 1999, ṣalaye kikun pe awọn wọnyii ni ọmọ orilẹede Naijiria: • Ẹni ti wọn bi si orilẹede Naijiria ṣaaju ayajọ ominira, ti eyikeyi ninu awọn obi rẹ tabi awọn to bi obi rẹ jẹ ọmọ bibi agbegbe kan ni Naijiria.</t>
  </si>
  <si>
    <t>Ofin naa sọ pe eeyan ko le jẹ ọmọ Naijiria bi wọn ko ba  bi awọn obi rẹ tabi awọn iya agba tabi baba agba rẹ si Naijiria.</t>
  </si>
  <si>
    <t>Ẹnikẹni ti wọn bi si Naijiria lẹyin ominira, ti iya tabi baba rẹ, tabi awọn obi wọn jẹ ọmọ Naijiria.</t>
  </si>
  <si>
    <t>Ẹnikẹni ti wọn ko bi si Naijiria, ṣugbọn ti eyikeyi ninu awọn obi rẹ jẹ ọmọ Naijiria.</t>
  </si>
  <si>
    <t>Lakọkọ, ka fi ye ara wa pe ọmọ Naijiria ni Kemi Badenoch, pẹlu bo ṣe jẹ pe ọmọ Naijiria ni obi rẹ, bo tilẹ jẹ pe wọn ko bi i si Naijiria.</t>
  </si>
  <si>
    <t>Gẹgẹ bi abala kẹrindinlọgbọn, ipin kin-in-ni (1) iwe ofin ọdun 1999 bi wọn ṣe ṣatunṣe rẹ ṣe wi, eeyan le di ọmọ orilẹede Naijiria bi: Ẹni naa ni iwa rere, o ni ọkan mimọ, o lero ire, to si ti bura lati jẹ olododo si orilẹede yii.</t>
  </si>
  <si>
    <t>Obinrin yoowu to ba fẹ ọmọ Naijiria l'ọkọ.</t>
  </si>
  <si>
    <t>Ẹnikẹni to ba ti dagba lọjọ ori ati ni gbogbo ọna, ti wọn bi si ẹyin odi, ṣugbọn ti awọn to bi obi rẹ jẹ ọmọ Naijiria.</t>
  </si>
  <si>
    <t>Ni bayii, bi ẹnikẹni ba fẹẹ di ọmo Naijiria labẹ isọri yii, ẹni naa ni lati forukọsilẹ, aarẹ orilẹede yoo si buwọ lu u.</t>
  </si>
  <si>
    <t>Igbesẹ yii ki i ṣe asare ṣe, o ni eto ati ilana lati tẹle.</t>
  </si>
  <si>
    <t>Abala 27 iwe ofin Naijiria la a kalẹ pe aarẹ le sọ ajeji di ọmọ oniluu ni Naijiria niwọn igba ti ẹni naa ba ti lawọn amuyẹ ti iwe ofin sọ.</t>
  </si>
  <si>
    <t>Lara awọn amuyẹ ti ẹni naa gbọdọ ni, ni pe o ti gbọdọ gbe ni Naijiria fun bii ọdun mẹẹdogun.</t>
  </si>
  <si>
    <t>Iru eeyan bẹẹ si tun gbọdọ bura pe oun yoo huwa bii ọmọluabi ni Naijiria.</t>
  </si>
  <si>
    <t>Labẹ awọn abala mẹtẹẹta yii, awọn ọmọ Kemi Badenoch lanfaani lati jẹ ọmọ oniluu ni Naijiria nitori iya wọn ati awọn obi rẹ jẹ ọmọ Naijiria gẹgẹ bii abala 25 iwe ofin Naijiria ṣe la a kalẹ.</t>
  </si>
  <si>
    <t>Koda, wọn tun le di ọmọ Naijiria nipa fifi orukọ silẹ bo tilẹ jẹ pe wọn ko bi wọn si Naijiria.</t>
  </si>
  <si>
    <t>Amọ, niwọn igba to jẹ wi pe mama wọn ati awọn obi rẹ jẹ ọmọbibi Naijiria, awọn naa le forukọ silẹ lati di ọmọ oniluu ni Naijiria.</t>
  </si>
  <si>
    <t>Eleyii ko ni ṣe bo ya obinrin tabi ọkunrin lo bi ọmọ silẹ okeere, iru awọn ọmọ bayii lẹtọọ lati di ọmọ oniluu ni Naijiria niwọn igba to jẹ wi pe ọmọbibi Naijiria ni obi wọn.</t>
  </si>
  <si>
    <t>Orukọ abisọ rẹ ni Olukemi Adegoke, wọn bi ni ilu Wimbledon lọdun1980.</t>
  </si>
  <si>
    <t>Ṣugbọn o dagba niluu Eko lorilẹede Naijiria ati America nibi ti iya rẹ ti jẹ olukọ.</t>
  </si>
  <si>
    <t>O pada si ilẹ Uk ni ọmọ ọdun merindinlogun lati gbe pẹlu ọrẹ iya rẹ nitori ọrọ oṣelu ati kudiẹkudiẹ to ba Naijiria lasiko naa.</t>
  </si>
  <si>
    <t>O gba orukọ Badenoch lẹyin to fẹ ọkọ rẹ, Hamish Badenoch, ẹni to wa lati orilẹede Scotland.</t>
  </si>
  <si>
    <t>Kemi ṣapejuwe orilẹede Naijiria gẹgẹ bi ilu ti ko si ofin, to si ranti gbogbo ohun to la kọja lasiko to gbe ni ilu Eko.</t>
  </si>
  <si>
    <t>Lara awọn nnkan ti Kemi ti sọ nipa Naijiria to da awuyewuye silẹ ni ọrọ to sọ lasiko irinajo rẹ lọ si US, to ni ilu Eko jẹ ilu kan ti ko ti si nkankan to n sisẹ.</t>
  </si>
  <si>
    <t>Gomina Adeleke sọ eyi ninu atẹjade kan to fi sita loju opo ayelujara X rẹ ninu eyi to ti sọ pe oun atawọn atukọ ẹgbẹ oṣelu naa ni ipinlẹ ṣe ipinnu yii lẹyin ifikuluku ọpọlọpọ ọsẹ pẹlu awọn balaye, awọn oṣiṣẹ ijọba atawọn iyalọja ati babalọja kaakiri ipinlẹ naa.</t>
  </si>
  <si>
    <t>Bakan naa lo fi kun un awọn eeyan wọnyii pẹlu ti buwọlu oun gẹgẹbi oludije ẹgbẹ oṣelu naa fun eto idibo ọdun 2026.</t>
  </si>
  <si>
    <t>Ẹwẹ atẹjade ti wọn fi sita lẹyin ijiroro ati ifikuluku naa to waye ni ile ijọba ipinlẹ Ọṣun nilu Oṣogbo sọ pe lara awọn nnkan ti wọn ro mọ Aarẹ Tinubu lara ti wọn fẹ fi tii lẹyin bayii ni pe ọmọ onilẹ loun naa ni ipinlẹ Ọṣun.</t>
  </si>
  <si>
    <t>Igbimọ to n ri si atunṣe iwe ofin Naijiria nile lo ṣe agbekalẹ aba fun idasilẹ ipinlẹ mọkanlelọgbọn ọhun.</t>
  </si>
  <si>
    <t>Ni Ọjọbọ ọjọ kẹfa oṣu Keji ni igbimọ naa gbe aba naa kalẹ niwaju ile ti wọn si ka a seti awọn ọmọ ile to wa ni ijokoo.</t>
  </si>
  <si>
    <t>Igbakeji adari ile aṣoju-ṣofin, Benjamin Kalu lo dari ijokoo naa ni Ọjọbọ.</t>
  </si>
  <si>
    <t>Alaga igbimọ naa sọ pe awọn ti da aba pe ki ijọba da ipinlẹ mẹfa tuntun silẹ ni ẹkun araringbungbun Naijiria, mẹrin mii ni ẹkun ila oorun ariwa.</t>
  </si>
  <si>
    <t>Ti ile igbimọ aṣofin agba ba buwọlu aba yii, eyi yoo tumọ si pe orilẹede Naijiria yoo ni ipinlẹ mẹtadinlaadọrin.</t>
  </si>
  <si>
    <t>Ipinlẹ mẹtadinlaadọrin yii yoo ju ti orilẹede Amẹrika to ni aadọta ipinlẹ lọ.</t>
  </si>
  <si>
    <t>Igbimọ to n ṣatunṣe iwe ofin Naijiria nile sọ ninu lẹta ti wọn ka niwaju ile pe ''a n fi asiko yii sọ fun ile wi pe igbimọ to n ri si atunṣe iwe ofin Naijiria ti gba ẹbẹ fun idasilẹ awọn ipinlẹ tuntun ati ijọba ibilẹ tuntun.</t>
  </si>
  <si>
    <t>Ipo ọhun ni a gbọ pe o jẹ ipo alaga banki eto ọgbin, BOA, ni Naijiria.</t>
  </si>
  <si>
    <t>Ọpọ iwe iroyin lo gbe iroyin ọhun wi pe ọmọ Babangida kọ lati gba ipo ti Tinubu yan an si.</t>
  </si>
  <si>
    <t>Bawọn kan ṣe n kan saara si Muhammed lawọn kan n bu ẹnu ẹtẹ lu u lori iroyin naa to sọ pe ọ kọ lati gba ipo ti aarẹ Naijiria yan an si.</t>
  </si>
  <si>
    <t>Lẹta ayederu kan ninu eyi ti Muhammed ti sọ pe oun kọ lati gba ipo ti Tinubu yan an si naa ti tan kalẹ lori itakun ayelujara ki o to wa sọrọ wi pe irọ nla ni lẹta ọhun.</t>
  </si>
  <si>
    <t>Ọgbẹni Muhammed ṣalaye ninu atẹjade to fi sita pe irọ to jina si ootọ ni iroyin to sọ pe oun kọ lati gba ipo ti Tinubu yan oun si.</t>
  </si>
  <si>
    <t>Àjáàbalẹ̀ ìròyìn BBC News Yorùbá lórí WhatsApp rẹ Darapọ̀ mọ́ wa nibì End of podcast promotion Muhammed ni awọn to n gbe iroyin yii kiri fẹẹ ṣi awọn araalu lọna ni, ati pe wọn tun fẹẹ bu ẹnu atẹ lu ijọba Tinubu to wa lode lo jẹ ki wọn maa gbe iroyin ofege kiri lori ayelujara.</t>
  </si>
  <si>
    <t>Ọmọkunrin Babangida fidi rẹ mulẹ ninu atẹjade to fi lede wi pe oun ''Muhammed gba ipo ti Aarẹ Tinubu yan oun si gẹgẹ bii alaga banki to n ri si eto ọgbin.'' Muhammed tun sọ ninu atẹjade naa pe oun mọ riri ipo ti Aarẹ Tinubu yan oun si, ati wi pe oun dupẹ gan an lọwọ Tinubu fun igbagbọ to ni ninu oun.</t>
  </si>
  <si>
    <t>Ọmọkunrin Babangida tun sọ ninu atẹjade to fi sita naa wi pe gbogbo awọn to n gbe iroyin ofege kiri ni yoo foju wina ofin.</t>
  </si>
  <si>
    <t>O ni awọn yoo ṣe iwadii finifini lati mọ awọn to wa nidi iroyin naa, gbogbo wọn si ni idajọ ododo yoo waye lori wọn.</t>
  </si>
  <si>
    <t>Bakan naa ni Muhammed tun rọ awọn ọmọ Naijiria lati maa ṣe iwadii ati ayẹwo iroyin ti wọn ba ri lori itakun ayelujara daadaa ki wọn to gba a gbọ.</t>
  </si>
  <si>
    <t>Iyansipo Muhammed Babangida jẹ ọkan lara oniruuru ipo ti Tinubu ti yan awọn eeyan si lori siṣe itaniji awọn ẹka ileeṣẹ ijọba apapọ.</t>
  </si>
  <si>
    <t>Agbẹnusọ ile igbimọ naa, Yemi Adaramodu, ṣapejuwe iroyin naa bii ofege ati awuruju.</t>
  </si>
  <si>
    <t>Adaramodu ṣalaye fun BBC News Pidgin, pe " Ile igbimọ aṣofin apapọ nikan ko le da ṣe idasilẹ awọn ipinlẹ, bẹẹ si ni aba naa tun gbọdọ gba ọna to pọ kọja fun atunṣe labẹ ofin.</t>
  </si>
  <si>
    <t>Koda, ipade ita gbangba (Public hearings) yoo wa ninu  eto naa".</t>
  </si>
  <si>
    <t>Bakan naa ni Adaramodu sọ pe lati da ipinlẹ tuntun silẹ, ida meji ninu mẹta awọn ọmọ ile igbimọ aṣofin awọn ipinlẹ naa gbọdọ fi ọwọ si i.</t>
  </si>
  <si>
    <t>Tẹ o ba gbagbe, oṣu Keji ọdun 2025 yii ni ni ile igbimọ Aṣoju-ṣofin kede pe awọn gba aba kan to n pe fun idasilẹ ipinlẹ mọkanlelọgbọn, ti yoo jẹ tuntun lorilẹede yii.</t>
  </si>
  <si>
    <t>O ni eyi yoo wa lati Aarin-Gbungbun Ariwa, mẹrin yoo wa lati Ariwa-Ila-Oorun, marun-un lati Ariwa-Iwọ-Oorun, marun-un lati Guusu- Ila-Oorun, mẹrin lati Guusu-Guusu ati meje lati Guusu-Iwọ-Oorun.</t>
  </si>
  <si>
    <t>Bi ile igbimọ Aṣofin agba ba gba aba yii wọle, Naijiria yoo ni ipinlẹ mẹtadinlaadorin (67) ti yoo ju aadọta ti America ni lọ.</t>
  </si>
  <si>
    <t>Abala kẹjọ ofin orilẹede Naijiria lo fi aaye silẹ fun idasilẹ ipinlẹ tuntun.</t>
  </si>
  <si>
    <t>Lakọkọ, o kere tan, ida meji ninu mẹta awọn to n beere ipinlẹ tuntun gbọdọ fọwọ si aba naa, iyẹn awọn to n ṣoju ipinlẹ ọhun nile igbimọ Aṣofin ati ti Aṣoju.</t>
  </si>
  <si>
    <t>Lẹyin naa ni wọn yoo gbe aba naa yẹwo pẹlu ibo didi, o kere tan, ida meji aṣoju awon to n beere ipinlẹ tuntun yoo dibo, wọn yoo sọ pe awọn fẹ ipinlẹ tuntun loootọ.</t>
  </si>
  <si>
    <t>Lẹyin eyi ni awọn kan lati ipinlẹ yoo buwọ lu u, awọn kan lati ile igbimọ Aṣoju naa yoo si fi ọwọ si i.</t>
  </si>
  <si>
    <t>Igbẹsẹ to kẹyin ni ki ida meji ninu mẹta awọn aṣoju ile mejeeji buwọ lu u.</t>
  </si>
  <si>
    <t>Àjáàbalẹ̀ ìròyìn BBC News Yorùbá lórí WhatsApp rẹ Darapọ̀ mọ́ wa nibì End of podcast promotion Aarin Gbungbun Ariwa (NORTH-CENTRAL) Ipinlẹ BENUE, lati Benue.</t>
  </si>
  <si>
    <t>Ipinlẹ OKUN, lati Kogi.</t>
  </si>
  <si>
    <t>Ipinlẹ OKURA, lati Kogi Ipinlẹ CONFLUENCE, lati Kogi.</t>
  </si>
  <si>
    <t>Ipinlẹ APA-AGBA, lati Guusu Benue (South Senatorial District).</t>
  </si>
  <si>
    <t>Ipinlẹ APA, lati Benue.</t>
  </si>
  <si>
    <t>Ipinlẹ kẹtadinlogoji ti wọn yoo pe ni olu ilu ilẹ wa, Abuja.</t>
  </si>
  <si>
    <t>Ariwa- Ila-Oorun (NORTH-EAST) Ipinlẹ AMANA, lati Adamawa.</t>
  </si>
  <si>
    <t>Ipinlẹ KATAGUM, lati Bauchi Ipinlẹ SAVANNAH,lati Borno.</t>
  </si>
  <si>
    <t>Ipinlẹ MURI, lati Taraba.</t>
  </si>
  <si>
    <t>Ariwa- Iwọ-Oorun (NORTH-WEST) Ipinlẹ KADUNA TUNTUN ati ipinlẹ GURARA lati Kaduna.</t>
  </si>
  <si>
    <t>Ipinlẹ TIGA lati Kano.</t>
  </si>
  <si>
    <t>Ipinlẹ KAINJI lati Kebbi.</t>
  </si>
  <si>
    <t>Ipinlẹ GHARI lati Kano Guusu -Ila -Oorun ( SOUTH-EAST) Ipinlẹ ETITI, ti yoo jẹ ikẹfa lati ẹkun yii.</t>
  </si>
  <si>
    <t>Ipinlẹ ADADA, lati Enugu.</t>
  </si>
  <si>
    <t>Ipinlẹ URASHI lati Guusu -Ila-Oorun.</t>
  </si>
  <si>
    <t>Ipinlẹ ORLU lati Guusu- Ila-Oorun Naijiria.</t>
  </si>
  <si>
    <t>Ipinlẹ ABA, lati Guusu-Ila-Oorun Naijiria.</t>
  </si>
  <si>
    <t>Guusu-Guusu (SOUTH-SOUTH) Ipinlẹ OGOJA, lati Cross River.</t>
  </si>
  <si>
    <t>Ipinlẹ WARRI, lati Delta.</t>
  </si>
  <si>
    <t>Ipinlẹ BORI, lati Rivers.</t>
  </si>
  <si>
    <t>Ipinlẹ OBOLO, lati Rivers ati Akwa Ibom.</t>
  </si>
  <si>
    <t>Guusu- Ila-Oorun (SOUTH-WEST) Ipinlẹ TORU-EBE, lati Delta, Edo, ati Ondo.</t>
  </si>
  <si>
    <t>Ipinlẹ IBADAN, lati Oyo .</t>
  </si>
  <si>
    <t>Ipinlẹ LAGOON , lati Eko.</t>
  </si>
  <si>
    <t>Ipinlẹ IJEBU, lati Ogun.</t>
  </si>
  <si>
    <t>Ipinlẹ OKE-OGUN, lati Oyo.</t>
  </si>
  <si>
    <t>Ipinlẹ IFE-IJESHA, lati Oyo ati Osun.</t>
  </si>
  <si>
    <t>Gẹgẹ bi Ọmọwe Bello Maisudan, olukọ lẹka oṣelu nileewe giga Bayero University, Kano, ṣe wi, Naijiria ko nilo ipinlẹ tuntun si i.</t>
  </si>
  <si>
    <t>Ọmọwe Maisudan ṣalaye pe nnkan mẹrin lo yẹ ki idasilẹ ipinlẹ tuntun da le lori.</t>
  </si>
  <si>
    <t>Awọn nnkan naa bo ṣe ka wọn ni: Ibeere fun un, iye eeyan to wa lagbegbe kan, bi ilẹ wọn ṣe to ati bi wọn ṣe le da duro gẹgẹ bi ipinlẹ to.</t>
  </si>
  <si>
    <t>Nipa ṣiṣe ibeere fun ipinlẹ tuntun, Ọmọwe Maisudan ṣalaye pe awọn eeyan le beere ipinlẹ tuntun, bi wọn ba ri I pe awọn ẹya to pọ ju wọn lọ n jẹ gaba lorii wọn.</t>
  </si>
  <si>
    <t>Apẹẹrẹ iru ẹ gẹgẹ  bo ṣe wi ni ipinlẹ Nasarawa ti wọn yọ lati ara Plateau, ati Bayelsa ti wọn yọ lati ipinlẹ Rivers.</t>
  </si>
  <si>
    <t>Nipa bi wọn ṣe pọ to ati iye eeyan to wa nibi ti wọn ti n beere ipinlẹ tuntun, o gbọdọ kaju ẹ .</t>
  </si>
  <si>
    <t>Wọn gbọdọ le da duro nipa owo, ki wọn ma maa duro de ijọba apapọ ki wọn too gbọ bukata ara wọn.</t>
  </si>
  <si>
    <t>"Ti ẹ ba wo awọn ipinlẹ mẹrindinlogoji (36)  ti a ni bayii, meloo ninu wọn lo le da bukata ara wọn gbọ́ lai duro de ijọba.?" Bẹẹ ni Ọmọwe Maisudan beere "Loju iwoye temi, ti a ba tiẹ maa ṣe afikun ipinlẹ, ko gbọdọ ju marun-un lọ.'' O fi kun un pe alekun inawo ni alekun ipinlẹ jẹ fun ijọba apapọ.</t>
  </si>
  <si>
    <t>O le fa kawọn kaa maa beere fun ipinya kuro lara orilẹede pẹlu, wahala rẹ pọ ju anfaani ibẹ lọ bi Maisudan tun ṣe sọ .</t>
  </si>
  <si>
    <t>Ipe ki wọn da ẹjọ nu yii ni wọn gbe kalẹ ni Ọjọ kẹrin oṣu keje ọdun 2025, ti wọn si tẹwọgba ni Ọjọ Ẹri, Ọjọkejidinlogun oṣu keje ọdun 2025.</t>
  </si>
  <si>
    <t>Nigba to gbe ibeere naa kalẹ, agbẹjọro olujẹjọ, Kanu Agabi, SAN ṣalaye fun ile ẹjọ idi ti wọn fi pe fun dida ẹjọ nu.</t>
  </si>
  <si>
    <t>O ni; Nigba to n fesi, Adegboyega Awomolo, SAN, agbẹjọro olupẹjo ni awọn ti pe ẹlẹri marun un lori igbẹjọ naa, ti wọn si pe ẹri tok say di prosecution don call five witnesses wey dem use prove evri element for di case.</t>
  </si>
  <si>
    <t>O ni Kanu gba baali lati ọdun 2017 si 2022 ṣugbọn ileẹjọ ni ko wa ni ihamọ nitori aabo araalu.</t>
  </si>
  <si>
    <t>Ẹniọwọ Chukwuma ni to salaye ọrọ yii fun iwe iroyin Punch ni ọdun naa, wa lu ijọba lọgọ ẹnu lori bi wọn ṣe mu Kanu pada, lẹyin to sa lọ tẹlẹ nigba ti wọn kọkọ fi ọwọ ofin mu un.</t>
  </si>
  <si>
    <t>''Nigba to wa ni oke okun, oun lo n lo awọn ọmọ ẹgbẹ IPOB nilẹ Igbo lati maa da rogbodiyan silẹ." Awọn ẹsun to ni i sẹ pẹlu iditẹ mọ ijọba, igbesunmọmi ati awọn ẹsun miran ni ijọba Naijriia fi kan Kanu.</t>
  </si>
  <si>
    <t>Bo ṣe sọ pe oun ko jẹbi yii, awọn agbẹjọro ijọba sọ pe awọn ti ṣetan lati tẹsiwaju pẹlu ẹjọ naa O ti to ọdun mẹrin ti igbẹjọ Nnamdi Kanu ti n waye Ni ọdun 2022, Ile ẹjọ giga ijọba apapọ nilu Umuahia, nipinlẹ Abia, paṣẹ fun ajọ ọtẹlẹmuyẹ DSS pe ko san biliọnu kan Naira fun Nnmadi Kanu gẹgẹ bi owo itunnu fun ile rẹ ti ajọ naa kọlu nilu Iaiama Afaraukwu loṣu Kẹsan-an, ọdun 2017.</t>
  </si>
  <si>
    <t>Nibi igbẹjọ naa, Onidajọ Benson Anya tun sọ fun ijọba apapọ Naijiria pe o gbọdọ kọ iwe ẹbẹ si Kanu ninu iwe iroyin mẹta lori ikọlu naa.</t>
  </si>
  <si>
    <t>Ninu igbẹjọ miran to tun waye lori ẹsun ti ijọba Naijiria fi kan Nnamdi Kanu, eyi to waye nilu Abuja bakan naa ni Kanu ti sọ pe oun ko jẹbi awọn ẹsun ti ijọba fi kan oun.</t>
  </si>
  <si>
    <t>Nínú lẹ́tà kan tó jáde sórí ayélujára lọ́jọ́rú, ọjọ́ Kẹrìndínlógún, oṣù Keje, ọdún 2025 ṣàfihàn pé Atiku Abubakar ti kọ lẹ́tà náà lọ́jọ́ Kẹrìnlá, oṣù Keje.</t>
  </si>
  <si>
    <t>Ó kọ lẹ́tà náà ránṣẹ́ sí alága ẹgbẹ́ òṣèlú PDP ní wọ́ọ̀dù Jada 1, ìjọba ìbílẹ̀ Jada ìpínlẹ̀ Adamawa.</t>
  </si>
  <si>
    <t>Atiku ní ìdí tí òun fi ń kọ̀wé fipò sílẹ̀ nínú ẹgbẹ́ náà kò ṣẹ̀yìn àwọn ìyapa ẹnu tó ń wáyé láàárín òun àti ẹgbẹ́ náà.</t>
  </si>
  <si>
    <t>Abubakar Atiku tẹsiwaju pé ó pọn dandan fún òun láti pọ̀ sókèrè rajà látàrí àwọn kùdìẹ̀kudiẹ tó ń wáyé nínú ẹgbẹ́ náà èyí tó lòdì sí àwọn nǹkan tó dúró lé.</t>
  </si>
  <si>
    <t>"Ṣíṣe igbákejì ààrẹ fún sáà méjì ọ̀tọ̀ọ̀tọ̀ àti jíjẹ́ olùdíje sípò ààrẹ fún ìgbà méjì jẹ́ àwọn nǹkan tó ṣe pàtàkì sí ìgbé ayé mi.</t>
  </si>
  <si>
    <t>Gẹ́gẹ́ bí ọ̀kan lára àwọn olùdásílẹ̀ ẹgbẹ́ yìí, ó jé ohun ìbànújẹ́ ọkàn fún mi láti ṣe ìpinnu yìí." Àjáàbalẹ̀ ìròyìn BBC News Yorùbá lórí WhatsApp rẹ Darapọ̀ mọ́ wa nibì End of podcast promotion Ní òwúrọ̀ ọjọ́bọ̀, ọjọ́ Kẹtàdínlógún, oṣù Keje ni èèkàn ẹgbẹ́ òṣèlú PDP míì, Dele Momodu tún kọ̀wé fipò sílẹ̀ gẹ́gẹ́ bí ọmọ ẹgbẹ́ òṣèlú PDP.</t>
  </si>
  <si>
    <t>Dele Momodu nínú lẹ́tà rẹ̀ fẹ̀sùn kàn pé àwọn kan tó ń ṣiṣẹ́ tako ìjọba àwaarawa ti gba àkóso ẹgbẹ́ òṣèlú náà.</t>
  </si>
  <si>
    <t>Lòdì sí Atiku tí kò ì tíì kéde ẹgbẹ́ òṣèlú tó fẹ́ darapọ̀ mọ́, Momodu ní òun ti lọ darapọ̀ mọ́ ẹgbẹ́ òṣèlú African Democratic Congress, ADC.</t>
  </si>
  <si>
    <t>Momodu tó darapọ̀ mọ́ ẹgbẹ́ òṣèlú PDP lọ́dún 2021 tó sì du tíkẹ́ẹ̀tì láti dupò ààrẹ fún ẹgbẹ́ náà lọ́dún 2022 sọ pé lẹ́sẹ̀kesẹ̀ ni ìkọ̀wé fí ẹgbẹ́ sílẹ̀ náà.</t>
  </si>
  <si>
    <t>Láti ìgbà tí àwọn ààrẹ Bola Tinubu ti ń ko ara wọn jọ ní ìbẹ̀rẹ̀ ọdún yìí láti ọ̀nà tí wọ́n fi máa gba àkóso Nàìjíríà kúrò lọ́wọ́ ẹgbẹ́ òṣèlú APC lọ́dún 2027 ni oníkálukú wọn ti ń fi ẹgbẹ́ òṣèlú wọn sílẹ̀.</t>
  </si>
  <si>
    <t>Ṣáájú ni David Mark tí òun náà jẹ́ èèkàn nínú ẹgbẹ́ òṣèlú tẹ́lẹ̀ kéde pé òun ti fi ẹgbẹ́ òṣèlú náà sílẹ̀ tó sì darapọ̀ mọ́ ẹgbẹ́ òṣèlú ADC.</t>
  </si>
  <si>
    <t>Ní ọjọ́ tí àgbáríjọ àwọn alátakò ọ̀hún kéde ẹgbẹ́ òṣèlú ADC gẹ́gẹ́ bí ẹgbẹ́ òṣèlú tí wọ́n máa lò lọ́dún 2027 láti tako Tinubu ni David Mark gba káàdì gẹ́gẹ́ bí ọmọ ẹgbẹ́ ADC tí wọ́n sì yàn-án ní alága fìdí ẹ́ fún ẹgbẹ́ náà.</t>
  </si>
  <si>
    <t>Makinde tó tún alága fún àwọn gómìnà ẹkùn gúúsù lẹ́gbẹ́ òṣèlú PDP ní bí Atiku ṣe fi ẹgbẹ́ náà sill kó ní ipa kankan lára ẹgbẹ́ àti pé ohun tó bá wuni ni ọ̀rọ̀ òṣèlú.</t>
  </si>
  <si>
    <t>Ó ní ẹgbẹ́ òṣèlú PDP fi ààyè sílẹ̀ fún ẹnikẹ́ni láti darapọ̀ mọ́ ẹgbẹ́ tàbí fi ẹgbẹ́ náà sílẹ̀ nígbà tó bá wù wọ́n.</t>
  </si>
  <si>
    <t>Ó fi kun pé ó dára kí gbogbo àwọn tí yóò máa fọwọ́ aago ẹgbẹ́ náà sẹ́yìn láti tètè fi ẹgbẹ́ sílẹ̀.</t>
  </si>
  <si>
    <t>Nígbà tó ń sọ̀rọ̀ lórí ẹgbẹ́ òṣèlú ADC, ó ní PDP kò rí ẹgbẹ́ náà bí èyí tó le ṣe ìdíwọ́ tàbí jẹ́ ìdúnkokò fún PDP.</t>
  </si>
  <si>
    <t>Onírúurú awuyewuye ló ti ń wáyé lẹ́yìn tí Atiku kéde láti fi ẹgbẹ́ òṣèlú PDP sílẹ̀ nítorí àwọn àìṣedédé kan tó ní ó ń wáyé nínú ẹgbẹ́ náà.</t>
  </si>
  <si>
    <t>Bí ó tilẹ̀ jẹ́ pé Gómìnà Seyi Makinde ti ìpínlẹ̀ Oyo, tí òun náà jẹ́ èèkàn nínú PDP sọ pé ìgbésẹ̀ Atiku náà kó ní nípa kankan lórí ẹgbẹ́ náà èrò àwọn onímọ̀ yàtọ̀ lórí èyí.</t>
  </si>
  <si>
    <t>Onímọ̀ nípa òṣèlú, Ọ̀jọ̀gbọ́n Dhikirulahi Yagboyaju wòye pé lábẹ́ ètò ìṣèjọba àwaarawa èyí tí Nàìjíríà ń lò lásìkò yìí, ó ní ẹ̀tọ́ ọmọ ẹgbẹ́ òṣèlú ni láti kúrò nínú ẹgbẹ́ kan bọ́ sí òmíràn.</t>
  </si>
  <si>
    <t>"Fífi ẹgbẹ́ òṣèlú sílẹ̀ jẹ́ ara ẹ̀tọ́ tí àwọn tó bá ń ẹgbẹ́ òṣèlú tán ní nìyẹn tó bá ti jẹ́ pé ètò òṣèlú tàbí ìjọba àwaarawa tí orílẹ̀ èdè kan yàn láàyò bí irú èyí tí Nàìjíríà yàn láàyò lọ́wọ́lọ́wọ́ báyìí." Ó ní ètò ìṣèjọba yìí fi ààyè gba ẹgbẹ́ tó pọ̀ tí ẹni tó bá sì ń ṣe òṣèlú le bọ́ láti ẹgbẹ́ kan sí òmíràn tí ohun tí wọ́n bá ń ṣe nínú ẹgbẹ́ kan kò bá tẹ lọ́rùn mọ́ tàbí bá ìgbàgbọ́ rẹ̀ mu.</t>
  </si>
  <si>
    <t>Ọ̀jọ̀gbọ́n Yagboyaju wòye pé àsọdùn ni pé ẹgbẹ́ òṣèlú PDP kò ní mọ báwọn èèkàn ẹgbẹ́ náà ṣe ń fi ẹgbẹ́ sílẹ̀ lọ sí ẹgbẹ́ míì.</t>
  </si>
  <si>
    <t>Ó fi kun pé èèkàn gbòógì ni Atiku jẹ́ nínú ẹgbẹ́ òṣèlú PDP, tó sì ti di àwọn ipò tó lágbára mú ní Nàìjíríà látara ẹgbẹ́ náà pẹ̀lú bó ṣe ti ṣe igbákejì ààrẹ.</t>
  </si>
  <si>
    <t>Ó ní Atiku ní àwọn èèyàn tó jẹ́ olólùfẹ́ rẹ̀ tó máa tẹ̀le pẹ̀lú bó ṣe fi ẹgbẹ́ náà sílẹ̀ èyí tí yóò mú àdínkpu bá iye ọmọ ẹgbẹ́ tí PDP ní.</t>
  </si>
  <si>
    <t>"Atiku lórúkọ nínú ètò òṣèlú Nàìjíríà tó ń tọ́ka si pé bí wọ́n ṣe ń kúrò yẹn, wọ́n máa kúrò pẹ̀lú àwọn olólùfẹ́ wọn.</t>
  </si>
  <si>
    <t>"Nǹkan tó ń jẹ́ kí ẹgbẹ́ òṣèlú ní agbára ni bí wọ́n bá ṣe ni ọmọ ẹgbẹ́ sí tó sì jẹ́ pé gbogbo ẹgbẹ́ òṣèlú ló máa ń fẹ́ kí ọmọ ẹgbẹ́ wọn máa pọ̀ si." Ọ̀jọ̀gbọ́n náà ní ẹgbẹ́ òṣèlú tí Atiku lọ darapọ̀ mọ́ ni yóò tún rí èrò si èyí tó máa jẹ́ kí wọ́n ní agbára kún agbára.</t>
  </si>
  <si>
    <t>Onímọ̀ náà ní báwọn èèyàn ṣe ń fi ẹgbẹ́ òṣèlú kan sílẹ̀ bọ́ sí òmíràn, tí ẹgbẹ́ tí wọ́n bá sì darapọ̀ mọ́ náà bá ní agbára jẹ́ nǹkan tó dára fún Nàìjíríà nítorí ó máa jẹ́ kí ìjọba tó wà lórí ipò jí gììrì sí ojúṣe wọn.</t>
  </si>
  <si>
    <t>Kíkọ̀wé fi ẹgbẹ́ PDP sílẹ̀ rẹ̀ yìí tún jẹ́ abala mìíràn nínú ìrìnàjò òṣèlú rẹ̀.</t>
  </si>
  <si>
    <t>Ìgbésẹ̀ tuntun rẹ̀ yìí ló mú jẹ́ ìgbà karùn-ún tó ń fi ẹgbẹ́ òṣèlú kan sílẹ̀ bẹ́ sí òmíràn láti ọdún 1999 tí Nàìjíríà ti padà sí ìjọba alágbádá.</t>
  </si>
  <si>
    <t>Ọdún 1999 ni wọ́n dìbò yàn-án gẹ́gẹ́ bí gómìnà ìpínlẹ̀ Adamawa lábẹ́ ẹgbẹ́ òṣèlú PDP ṣùgbọ́n tí wọ́n yàn-án láti ṣe igbákejì ààrẹ Olusegun Obasanjo kí wọ́n tó búra wọlé fún gẹ́gẹ́ bí gómìnà.</t>
  </si>
  <si>
    <t>Ó ṣe igbákejì ààrẹ náà láàárín ọdún 1999 sí 2007.</t>
  </si>
  <si>
    <t>Ọdún 2006 ni Atiku fi PDP sílẹ̀ lọ sí ẹgbẹ́ òṣèlú Action Congress lẹ́yìn tí aáwọ̀ bẹ́ sílẹ̀ láàárín òun àti Olusegun Obasanjo lórí ẹni tó máa gba ipò ààrẹ.</t>
  </si>
  <si>
    <t>Ó dupò ààrẹ Nàìjíríà lábẹ́ ẹgbẹ́ òṣèlú AC lọ́dún 2007 tó sì pàdánù sọ́wọ́ Umaru Musa Yar'Adua tí ẹgbẹ́ PDP.</t>
  </si>
  <si>
    <t>Atiku padà sí PDP lọ́dún 2009 lẹ́yìn tí aáwọ̀ bẹ́ sílẹ̀ láàárín òun àti adarí ẹgbẹ́ òṣèlú AC nígbà náà, tó tún jẹ́ ààrẹ Nàìjíríà báyìí Bola Tinubu.</t>
  </si>
  <si>
    <t>Ó gbìyànjú láti dupò ààrẹ Nàìjíríà lọ́dún 2011 lábẹ́ àsíá ẹgbẹ́ òṣèlú PDP ṣùgbọ́n Ààrẹ tẹ́lẹ̀ rí Nàìjíríà, Goodluck Jonathan ni tíkẹ́ẹ̀tì ẹgbẹ́ já mọ́ lọ́wọ́.</t>
  </si>
  <si>
    <t>Ṣáájú ètò ìdìbò ọdún 2015 Atiku tún fi ẹgbẹ́ òṣèlú PDP sílẹ̀ láti darapọ̀ mọ́ ẹgbẹ́ òṣèlú All Progressives Congress, APC tí wọ́n ṣẹ̀ṣẹ̀ dá sílẹ̀ nígbà náà.</t>
  </si>
  <si>
    <t>Ó fẹ̀sùn kàn nígbà náà pé àwọn kùdìẹ̀kudiẹ kan ń wáyé nínú ìṣèjọba PDP lábẹ́nú ni òun fi fẹgbẹ́ sílẹ̀.</t>
  </si>
  <si>
    <t>Ó díje du tíkẹ́ẹ̀tì ẹgbẹ́ APC láti dupò ààrẹ lọ́dún 2015 àmọ́ tó pàdánù sọ́wọ́ Muhammadu Buhari.</t>
  </si>
  <si>
    <t>Atiku tún padà sí PDP lọ́dún 2017 pẹ̀lú ẹ̀sùn pé APC kò ṣe àmúṣẹ àwọn ìlérí tí wọ́n ṣe fáwọn aráàlú lásìkò ìpolongo ìbò àti pé wọ́n ń fi ojú kéré àwọn kan nínú ẹgbẹ́.</t>
  </si>
  <si>
    <t>Ó díje dupò ààrẹ lẹ́gbẹ́ òṣèlú PDP lọ́dún 2019 àmọ́ tó tún pàdánù sọ́wọ́ Muhammadu Buhari ti APC.</t>
  </si>
  <si>
    <t>Bákan náà ló tún rí tíkẹ́ẹ̀tì ẹgbẹ́ lọ́dún 2023 láti díje du ipò ààrẹ.</t>
  </si>
  <si>
    <t>Èyí ló fa awuyewuye láàárín òun àti àwọn gómìnà ẹgbẹ́ òṣèlú PDP márùn-ún nígbà tí wọ́n fẹ̀sùn kan Atiku pé kò tẹ̀lé àdéhùn pé kí ipò agbára padà sí ẹkùn gúúsù Nàìjíríà.</t>
  </si>
  <si>
    <t>Bí ó tilẹ̀ jẹ́ pé Atiku Abubakar kò ì tíì kéde ẹgbẹ́ òṣèlú tó fẹ́ darapọ̀ mọ́, ó ní òun ti fi ẹgbẹ́ òṣèlú PDP sílẹ̀.</t>
  </si>
  <si>
    <t>Ohun tó fa ìgbésẹ̀ tuntun náà bí Atiku ṣe sọ kò ṣẹ̀yìn ìfaǹfà tó ń wáyé nínú PDP.</t>
  </si>
  <si>
    <t>Ọ̀pọ̀ ló ti ń sọ pé ó ṣeéṣe kó jẹ́ pé ẹgbẹ́ òṣèlú ADC ni Atiku máa darapọ̀ mọ́ látàrí àgbáríjọ tó ti ń wáyé tẹ́lẹ̀.</t>
  </si>
  <si>
    <t>Bi orilẹede Naijiria ti n ṣe idaro aarẹ ana, Muhammadu Buhari, to jade laye lọjọ Aiku ọjọ kẹtala oṣu Keje, ọpọ eeyan lo ti n ṣe iranti awọn ọrọ ati iṣesi rẹ to da awuyewuye silẹ lasiko ijọba rẹ.</t>
  </si>
  <si>
    <t>Ojo ti n pa igun bọ ọjọ tipẹ lọrọ Buhari jẹ pẹlu awọn nnkan to ti ṣe tabi awọn ọrọ to ti sọ sẹyin eyi to da awuyewuye silẹ.</t>
  </si>
  <si>
    <t>Ti ẹ o ba gbagbe, Buhari kọkọ ṣe olori ologun orilẹede Naijiria laarin ọdun 1983 si 1985 ki o to di aarẹ alagbada ti araalu dibo yan lọdun 2015.</t>
  </si>
  <si>
    <t>Saa meji ọtọọtọ ni Buhari lo lori oye gẹgẹ bi aarẹ orilẹede Naijiria laarin ọdun 2015 si ọdun 2023.</t>
  </si>
  <si>
    <t>Bakan naa laa ri awọn asiko ti araalu koro oju, yala si nnkan ti aarẹ ṣe tabi eleyi ti o kọ lati ṣe.</t>
  </si>
  <si>
    <t>Eto yii ti Buhari ṣe ifilọlẹ rẹ logunjọ oṣu Kẹfa ọdun 1984 lasiko ijọba ologun rẹ lo mu un ni dandan fawọn ọmọ Naijiria lati maa to ti wọn ba fẹ ra nnkan ni gbangba ti ero ti pọ.</t>
  </si>
  <si>
    <t>Ọpọ eeyan lo maa n ri iya he ti wọn ba pẹ debi iṣẹ nigba naa, bakan naa ni awọn araalu gbọdọ bọwọ fun asia orilẹede Naijiria labẹ eto WAI.</t>
  </si>
  <si>
    <t>Labẹ eto yii, araalu gbọdọ gba ile gba ita lasiko naa, bi bẹẹ kọọ, awọn agbofinro yoo fọwọ ṣinkun ofin mu wọn.</t>
  </si>
  <si>
    <t>Ni ọjọ kinni oṣu Kinni ọdun 1984 ni ijọba ologun Buhari ṣe agbekalẹ ofin ologun ti wọn n pe ni ''decree 4.'' Ofin naa sọ pe iwa ọdaran ni akọroyin tabi ileeṣẹ iroyin to ba gbe iroyin kankan to tako ijọba ologun Naijiria hu.</t>
  </si>
  <si>
    <t>Ijọba ologun Buhari fọwọ ofin mawọn akọroyin to n ṣiṣẹ pẹlu iwe iroyin Guardian, Tunde Thompson ati Nduka Irabor lori ẹsun pe wọn tapa si ofin naa.</t>
  </si>
  <si>
    <t>Awọn akọroyin mejeeji naa si fi ẹwọn jura nigba naa lọhun.</t>
  </si>
  <si>
    <t>Ọpọ awọn akọroyin mii yatọ sawọn meji yii ni ijọba ologun ju si atimọle nigba naa.</t>
  </si>
  <si>
    <t>Eto yii ni ajọ NDLEA to n gbogun ti oogun oloro n lo lati kilọ fun araalu lori ewu to wa ninu lilo oogun oloro.</t>
  </si>
  <si>
    <t>Buhari sọ nigba naa wi pe oogun oloro lewu ju awọn to n gbe sunmọmi lọ tori o le pa iran bii mẹta run.</t>
  </si>
  <si>
    <t>Ajọ oniroyin NAN sọ pe ifilọlẹ eto yii wa ni ibamu pẹlu ayajọ ikilọ ti ajọ UN n ṣe tako lilo oogun oloro lati le daabo bawọn eeyan.</t>
  </si>
  <si>
    <t>Buhari fikun ọrọ rẹ lasiko naa wi pe iṣẹ gbogbo araalu ni lati gbogun lilo ati kata-kara oogun oloro.</t>
  </si>
  <si>
    <t>Iṣẹlẹ yi kii ṣe pe aarẹ sọrọ si eeyan kan tabi araalu, aisọrọ aarẹ gaan nipa pe o na eeyan kan ni pasan oju lo mu ki ayelujara gbina.</t>
  </si>
  <si>
    <t>Lasiko ti aarẹ wa si iwaju ile aṣofin Naijiria ni ọrọ yi ṣẹlẹ.</t>
  </si>
  <si>
    <t>Aarẹ n ka awọn ohun to sọ pe ijọba rẹ ṣe laṣeyọri ṣugbọon niṣe ni aṣofin kan n pariwo ti ọrọ rẹ si n bo ti aarẹ mọlẹ.</t>
  </si>
  <si>
    <t>Ninu ọrọ yi tawọn araalu n wo lori amohunmaworan aṣofin naa n pariwo pe ko si ootọ ninu ọrọ ti aarẹ n sọ.</t>
  </si>
  <si>
    <t>Kaka ki aarẹ fun lesi, o yi oju si onitọun to si na ni pasan oju.</t>
  </si>
  <si>
    <t>Pasan yi lawọn ọmọ Naijiria ri to si mu iriwisi ọtọọtọ wa.</t>
  </si>
  <si>
    <t>Eleyi ti yoo ṣi wa lọkan wọn fọjọ pipẹ gẹgẹ bi iṣẹlẹ manigbagbe ni ọrọ owo Naira ti ijọba lawọn ṣe iyipada rẹ.</t>
  </si>
  <si>
    <t>Ọkẹ aimọye oniṣowo ati aladani lo kerora lasiko eto yi to si mu inira ba ogunlọgọ ọmọ Naijiria to gbẹmi le ipese owo fun lilo ojojumọ.</t>
  </si>
  <si>
    <t>Ka kọkọ sọrọ nipa igba to fofin de.</t>
  </si>
  <si>
    <t>Fifi ofin fde oju opo Twitter lati ọwọ ijọba Naijiria ko ṣẹyin bi oju opo naa ṣẹ yọ ọrọ aarẹ kuro loju opo naa.</t>
  </si>
  <si>
    <t>Ijọba gbẹsan pada awọn naa si fofin de oju opo Twitter lariwo ba sọ.</t>
  </si>
  <si>
    <t>Ati awọn ọdọ ati ajafẹtọmọniyan gbogbo wọn ni wọn bẹnu atẹ lu igbesẹ ijọba Naijiria yi .</t>
  </si>
  <si>
    <t>Ọpọ ṣapejuwe rẹ gẹgẹ bi iwa ijọba amunisin ṣugbọn ijọba ko yẹ ko gbo titi ti ọgọrun ọjọ re kọja daada lori ọrọ yi.</t>
  </si>
  <si>
    <t>Asẹyinwa aṣẹyinbọ, ijọba pada gba lati tu oju opo yi silẹ ṣugbọn ọpọ ọmọ Naijiria ni ko ni gbagbe inira ti igbesẹ yi mu ba awọn araalu kan.</t>
  </si>
  <si>
    <t>Lẹyin ifilọlẹ eto yii lawọn araalu ni anfaani lati maa wọ reluwee lati ilu kan si omiran.</t>
  </si>
  <si>
    <t>Ọpọ ni ko wọ ọkọ mọ lati ilu Eko si Ibadan lati igba ti ijọba Buhari ti ṣe ifilọlẹ ọkọ reluwee pada.</t>
  </si>
  <si>
    <t>Bakan naa ni ọpọ eeyan yan wiwọ ọkọ reluwee lati ilu Abuja si Kaduna laayo, dipo ki wọn wọ ọkọ.</t>
  </si>
  <si>
    <t>Kaakiri Naijiria lawọn eeyan ti lanfaani lati maa wọ reluwee lati ilu kan si omiran bayii.</t>
  </si>
  <si>
    <t>Lara nnkan manigbagbe ti Buhari ṣe lasiko ijọba rẹ ti ọpọ ọmọ Naijiria ko le gbagbe ni ipa ti o ko lori ọrọ ifẹhonuhan awọn ọdọ tako iwa ipa awọn ọlọpaa SARS si araalu.</t>
  </si>
  <si>
    <t>Ẹgbẹẹgbẹrun awọn ọdọ lo bọ soju titi ni Lekki TollGate niluu Eko loṣu Kẹwaa ọdun 2020 lati ṣe iwọde tako iwa ipa awọn ọlọpaa SARS yii si araalu.</t>
  </si>
  <si>
    <t>Buhari kọkọ fofin de awọn ọlọpaa SARS lẹyin ti iwọde awọn ọdọ n gbona janjan.</t>
  </si>
  <si>
    <t>Amọ, nigba ti iwọde naa n lagbara sii tawọn ọdọ si n beere fun iṣejọba to dara ni Aarẹ Buhari paṣẹ pe kawọn agbofinro to fi mọ awọn sọja lọ tako awọn oluwọde naa.</t>
  </si>
  <si>
    <t>Bayii lawọn sọja ṣina ibọn fawọn to n ṣe iwọde ni Lekki Tollgate, nibi ti awọn ẹgbẹ ajafẹtọọ ti sọ pe ko din eeyan mejila to ku.</t>
  </si>
  <si>
    <t>Ohun to bi ọpọ eeyan ninu ni pe Aarẹ Buhari ko sọ nipa awọn sọja to yinbọn sawọn oluwọde nigba to n ba araalu sọrọ lori iṣẹlẹ naa.</t>
  </si>
  <si>
    <t>Ni ṣe ni aarẹ kilọ fawọn oluwọde pe ki wọn ma ṣe nnkan to le ṣakoba fun eto abo Naijiria.</t>
  </si>
  <si>
    <t>Ileeṣẹ aarẹ ni oniruuru eto ti yoo fun araalu ni ireti ọtun ni ijọba APC to wa lode n nawo le lori lọwọ yii.</t>
  </si>
  <si>
    <t>Oludamọran pataki fun aarẹ lori ọrọ iroyin ati ibaraẹnisọrọ, Sunday Dare, lo fidi ọrọ yii mulẹ loju opo X rẹ.</t>
  </si>
  <si>
    <t>Dare ṣe atupalẹ awọn nnkan ti ijọba n ṣe pẹlu owo to n wọle, o ni oriṣiiriṣii eto ti yoo ṣe anfaani fun araalu ni ijọba n nawo le lori.</t>
  </si>
  <si>
    <t>Alaye yii waye lẹyin ti ọpọ eeyan papaa julọ awọn adari ẹgbẹ oṣelu alatako n kọminu lori gbese ti Naijiria ti jẹ labẹ ìjọba Tinubu.</t>
  </si>
  <si>
    <t>Oludamọran aarẹ ni ijọba gbe igbesẹ yii lati ri pe awọn olokowo kekeke n ṣiṣẹ eyi ti yoo mu adinku ba ìṣòro airiṣẹṣe ni Naijiria.</t>
  </si>
  <si>
    <t>Dare ni ijọba gbagbọ pe ṣiṣe atilẹyin fawọn olokowo kekeke yii yoo mu adinku ba oṣi ati iṣẹ to n ba ọpọ eeyan finra, yoo si tun mu idagbasoke wa.</t>
  </si>
  <si>
    <t>Eto mii ti ijọba tun n nawo le lori ẹka igbokegbodo ọkọ ati ṣiṣe ọna kaakiri orilẹede Naijiria.</t>
  </si>
  <si>
    <t>Ọgbẹni Dare ṣalaye pe o le ni ọna 440 ti ijọba n ṣe lọwọ kaakiri orilẹede Naijiria eyi to to kilomita 2,700 ti yoo jẹ ki eto okowo gberu sii.</t>
  </si>
  <si>
    <t>O ni awọn ọna yìí ti so oniruuru gbagede okowo pọ, eyi ti yoo mu adinku ba ọwọngogo nnkan ti yoo si tun fawọn olokowo lanfaani lati le maa ra ọja kaakiri.</t>
  </si>
  <si>
    <t>Àjáàbalẹ̀ ìròyìn BBC News Yorùbá lórí WhatsApp rẹ Darapọ̀ mọ́ wa nibì End of podcast promotion Ẹka eto ẹkọ náà ko gbẹyin ninu awọn nnkan ti ijọba n nawo le lori papaa julọ eto ẹyawo NELFUND fáwọn akẹkọọ ile ẹkọ giga táwọn akẹkọọ bíi 500,000 kaakiri awọn ile ẹkọ fasiti at'awọn ile ẹkọ giga mii ni Naijiria ti janfaani rẹ.</t>
  </si>
  <si>
    <t>Oludamọran aarẹ ni ọgọọrọ akẹkọọ ni eto yii ti se iranwọ fún lati jẹki wọn janfaani eto ẹkọ to ye koororo pẹlu owo ti wọn ko ni da pada ni kiakia.</t>
  </si>
  <si>
    <t>Ileeṣẹ aarẹ ni ijọba ṣe agbekalẹ eto ẹyawo NELFUND lati fopin si ìṣòro airowo ile iwe san t'awọn akẹkọọ ti obi wọn ko rọwọ họri maa n koju.</t>
  </si>
  <si>
    <t>Nnkan mii gboogi ti ijọba Tinubu tun n nawo le lori ni imuṣẹ ati sisan #70,000 gẹgẹ bii owo oṣu oṣiṣẹ to kere julọ.</t>
  </si>
  <si>
    <t>Ọgbẹni Dare ṣalaye pe alekun owo oṣu ti ijọba Tinubu ṣe ti ro awọn oṣiṣẹ lagbara lati gbe igbe aye to dara pẹlu ọwọngogo to gbòde.</t>
  </si>
  <si>
    <t>Oludamọran aarẹ ni ijọba apapọ n ṣiṣẹ pọ pẹlu awọn ijọba ìpínlẹ̀ àti ti ibilẹ lati le ri pe awọn oṣiṣẹ wọn naa jẹ anfaani yii.</t>
  </si>
  <si>
    <t>Bakan naa ni o tun sọ pe awọn oniṣẹ aladani papaa yoo ṣe alekun owo oṣu fawọn oṣiṣẹ wọn, eyi ti yoo si jẹ ki ọrọ aje Naijiria gberu sii.</t>
  </si>
  <si>
    <t>Shettima ni iṣejọba Jonathan ṣafihan rẹ gẹgẹ bii ọta ilu lasiko iṣejọba ọdun mẹrin.</t>
  </si>
  <si>
    <t>Shettima sọ eyi nigba to sọrọ nibi ifilọlẹ iwe tuntun, OPL245: Inside Story of the $1.3 Billion Nigerian Oil Block, ti minisita fun eto idajọ nigba kan ri, Mohammed Bello Adoke, gbe kalẹ, eyi to waye ni gbọngan Shehu Musa Yar'Adua Centre.</t>
  </si>
  <si>
    <t>Shettima ni ọpẹlọpẹ abẹnugan ile igbimọ aṣofin kekere nigba kan ri, Aminu Waziri Tambuwal, and Mohammed Bello Adoke to sọ fun Aarẹ Jonathan pe ko ni agbara labẹ ofin lati yọ oun kuro nipo gẹgẹ bii gomina.</t>
  </si>
  <si>
    <t>Bakan naa lo jẹ ko di mimọ pe oun ati Jonathan ti pari ija tipẹ, to si jẹ pe alaafia lo wa laarin wọn.</t>
  </si>
  <si>
    <t>Aarẹ nigba kan ri, Goodluck Jonathan, ẹni ti mo ti pari ija pẹlu rẹ, duro lori pe ki wọn yọ mi kuro gẹgẹ bii gomina ipinlẹ Borno.</t>
  </si>
  <si>
    <t>"Tambuwal, olori ile igbimọ aṣofin kekere nigba kan ri lo ni gboya lati sọ fun aarẹ pe ko ni agbara lati yọ mi kuro nipo gẹgẹ bii Gomina, ko da ko ni agbara lati yọ kanselọ adugbo.</t>
  </si>
  <si>
    <t>Sibẹsibẹ, aarẹ ko gba." Shettima ni ọpọ awọn igbimọ ijọba Aarẹ lo tako igbesẹ naa, titi wọn fi jawọ ninu ero lati yọ gẹgẹ bii gomina.</t>
  </si>
  <si>
    <t>O fikun pe iriri to ni lo jẹ ko ni ajọsepọ pipẹ pẹlu Adoke ati Tambuwal.</t>
  </si>
  <si>
    <t>Ọpọ awọn eeyan jakanjakan lo wa nibi ayajọ ifilọlẹ iwe naa.</t>
  </si>
  <si>
    <t>Kashim Ibrahim Shetima jẹ onimọ nipa eto ifowopamọ ati oloṣelu.</t>
  </si>
  <si>
    <t>Oun ni ṣẹnetọ to n ṣoju gbungun ipinlẹ Borono lọwọlọwọ ni Ile Igbimọ Aṣofin Agba.</t>
  </si>
  <si>
    <t>Shettima ti di ipo gomina mu lẹẹmeji nipinlẹ Borno lati ọdun 2011 si 2019.</t>
  </si>
  <si>
    <t>O ni iwe eri imọ Bachelor's ati  Master's Degree lati fasiti Maiduguri ati fasiti Ibadan.</t>
  </si>
  <si>
    <t>Lẹyin to kawe jade ni o bẹrẹ idokowo ati iṣẹ ni ileeṣẹ ifowopamọsi, to si de ipo adari.</t>
  </si>
  <si>
    <t>Ni nkan bi ọdun 2000 ni o da adari ileeṣẹ Zenith Bank ni Maiduguri ti o to kọ iwe fi ipo silẹ lati bẹrẹ iṣe ni ijọba gomina Ali Modu Sheriff ni ọdun 2007.</t>
  </si>
  <si>
    <t>Lẹyin naa lo lo ọdun mẹrin ni ipo gomina ni ọdun 2011, to si dije du ipo aarẹ ni ọdun 2015.</t>
  </si>
  <si>
    <t>Pẹlu bi awọn oloṣelu Naijiria ṣe n kuro ninu ẹgbẹ kan bọ si ikeji bayii, àwọn ọmọ Nàìjíríà tí wá ń fi ẹnu kún Gomina ipinlẹ Osun, Ademola Adeleke, pé òun náà ti là ìtàn láti kúrò nínú ẹgbẹ́ oselu PDP lọ sí APC.</t>
  </si>
  <si>
    <t>Kódà, àwọn kan ni imọlẹ tí fẹ́ wọ inú òkùnkùn lọ ní ìpínlẹ̀ Osun èyí tó túmọ̀ sí pé gomina Adeleke, tí ọ̀pọ̀ mọ si Imọlẹ fẹ lọ sí ibòmíràn.</t>
  </si>
  <si>
    <t>Pẹlu bi awọn ọmọ Naijiria ṣe wa mú ariwo rẹ bọnu pe o fẹ kúrò ninu ẹgbẹ kan bọ si ikeji bayii, Gomina ipinlẹ Osun, Ademola Adeleke, ti sọ bo ṣe n lọ ni iha tirẹ.</t>
  </si>
  <si>
    <t>Ninu alaye to ṣe si oju opo X rẹ lọjọ Satide, ọjọ karun-un, oṣu Keje ọdun 2025, Adeleke tawọn eeyan tun mọ si Imọlẹ, kede pe oun ṣi n ṣe olootọ si PDP nipinlẹ Osun ni toun.</t>
  </si>
  <si>
    <t>''Mo fẹẹ fi da ẹyin eeyan daadaa ipinlẹ Osun loju, pe olootọ ọmọ ẹgbẹ PDP ṣi ni mi.</t>
  </si>
  <si>
    <t>Ko si giri kankan'' Gomina Adeleke lo kede bẹẹ.</t>
  </si>
  <si>
    <t>O ni afojusun oun ko yipada, bi oun yoo ṣe mu awọn koko marun-un toun ṣe ileri rẹ fun awọn eeyan Osun ṣẹ lo jẹ oun logun.</t>
  </si>
  <si>
    <t>Adeleke fi kun un pe ki ẹnikẹni ma ṣe gba aheṣo to n lọ laaarin ilu pe oun ti kuro ni PDP gbọ.</t>
  </si>
  <si>
    <t>O ni ki wọn maa ṣatilẹyin funjọba oun lọ.</t>
  </si>
  <si>
    <t>Ayipada oriṣiiriṣii lo n waye lagbo oṣelu Naijiria bayii, pẹlu bi awọn ẹgbẹ oṣelu tuntun ṣe n dide ni igbaradi fun idibo ọdun 2027.</t>
  </si>
  <si>
    <t>Eyi n mu awọn kan fi ẹgbẹ to gbe wọn depo silẹ, ti wọn si n darapọ mọ ẹgbẹ miran kiri.</t>
  </si>
  <si>
    <t>Awijare awọn ẹgbẹ alatako naa ni pe Naijiria ko gbọdọ di orilẹede ẹlẹgbẹ oṣelu kan.</t>
  </si>
  <si>
    <t>Wọn fi kun un pe ohun ti ẹgbẹ APC ati Aarẹ Bola Tinubu n fẹ niyẹn, ṣugbọn awọn ko ni i jẹ ko ri bẹẹ.</t>
  </si>
  <si>
    <t>Bẹẹ si ni APC naa ko yee sọ pe ofo ọjọ keji ọja ni awọn alatako yoo ba de ninu idibo 2027.</t>
  </si>
  <si>
    <t>Igbesẹ yi ti bẹrẹ ni bi ọjọ diẹ sẹyin bi wọn si se n se gbe awọn agbabara yi ni wọn n gbe wọn re ile-ẹjọ alagbeka, ti wọn si n sedajọ wọn lẹsẹkẹsẹ.</t>
  </si>
  <si>
    <t>Bi awọn kan ṣe n ri ẹwọn he naa ni idajọ awọn kan jẹ isẹ ilu (Community Service) Ninu iroyin kan lori ayelujara lati rii ka pe, komisanna fun eto idagbasoke, (Social Development) fun ipinlẹ ọhun, Hajia Mariam Nnafatima-Imam, lo saaju awọn ẹsọ ijọba lati le gbogbo awọn agbabara naa.</t>
  </si>
  <si>
    <t>Koda, Iroyin ọhun gbee pe, o ti to agbabara mẹrindinlaadọrin (66) ati ọkunrin ati obinrin to fi mọ awọn ọmọde ni wọn ti fofin gbe latigba ti ijọba ti bẹrẹ igbesẹ ọhun.</t>
  </si>
  <si>
    <t>Lọjọ isẹgun, ọjọ kinni osu keje, BBC Yoruba kan si ẹka to n ri seto idagbasoke lati mọ idi pato tan fi n ko awọn agbabara kuro nilẹ, ati lati mọ boya igbesẹ naa tẹ ẹtọ wọn loju mọlẹ abi ko tẹ ẹ.</t>
  </si>
  <si>
    <t>Àjáàbalẹ̀ ìròyìn BBC News Yorùbá lórí WhatsApp rẹ Darapọ̀ mọ́ wa nibì End of podcast promotion Ninu ifọrọwerọ pẹlu akọwe agba (Permanent Secretary) ẹka naa, alagba Ayanwale Peter Kayode sọ pe araalu ni awọn agbabara, awọn naa si ni ẹtọ kii si se pe, ijọba n tẹ ẹtọ wọn mọlẹ.</t>
  </si>
  <si>
    <t>"Idi pataki ti ijọba fi ko wọn kuro loju popo pọ, "Lara rẹ ni pe, ti a ba wo awọn agbegbe kan bi Geri-Alimi, Airport, Post Office, Garrage Offa, Tanke ati awọn ibo mii, a o ri pe awọn agbegbe yi jẹ ibi ti ijọba n boju to, ti wọn si n nawo biribiri le.</t>
  </si>
  <si>
    <t>"Sugbọn awọn agbabara wọn yii, ti a ba wo abẹ afara Tankẹ, wọn ti sọ ibẹ di ile, ni ọpọ igba, igbẹ ni wọn n fi ba ibẹ jẹ.</t>
  </si>
  <si>
    <t>Wọn tun sọ ibẹ di ibi ti sun kẹrẹ fa kẹrẹ ọkọ ati ẹsẹ ti n sẹlẹ lori pe wọn tọrọ bara, awọn miran a jana mọ mọto lẹnu, "Idi miran ni pe, ọpọ wọn ni wọn n se agbodegba fun awọn ole, ti wọn n ko ọpọlọpọ nnkan.</t>
  </si>
  <si>
    <t>ni ọdun to kọja, a mu ninu wọn, ọpọ la ba awọn ohun oloro bi ọbẹ, ada, orisirisi oogun lọwọ wọn.</t>
  </si>
  <si>
    <t>"Ki ni agbabara n wa pẹlu ọbẹ, ki lo n fi ada ṣe?</t>
  </si>
  <si>
    <t>Ọpọlọpọ awọn nnkan wọn yẹ la ko lọ agọ ọlọpaa gẹgẹ bi ẹri.</t>
  </si>
  <si>
    <t>"Iyẹ nikan kọ, ti a ba de oju popo wa, ni ọpọ igba ni ẹẹru ma n ba eniyan pẹlu bi awọn agbabara yi ṣe n mura.</t>
  </si>
  <si>
    <t>"A ti ṣe ipade pẹlu awọn olori wọn ni ọpọ igba ti a si ti jẹ kan mọ ipinnu ijọba, eleyi ti wọn fara mọ.</t>
  </si>
  <si>
    <t>"A ni wọn le duro ni awọn agbegbe ọja ọba si Gambari, titi de Ipata, a si fọkan wọn balẹ pe, a o maa kan si wọn pẹlu awọn ohun agbaye gbadun ti ijọba ba n se, a si n se bẹẹ gẹgẹ.</t>
  </si>
  <si>
    <t>"A tun n se eyi nitori awọn to lapa, to lẹsẹ, ti nkankan o se, ijọba ni kan lọ wasẹse tabi ko lọ kọsẹ, tabi kan lọ dako, ijọba ti pese ibi ẹkọsẹ imọ nipa ẹrọ bẹẹ si ni wọn pese awọn ohun idako lọfẹ fawọn to ba fẹ dako.</t>
  </si>
  <si>
    <t>"Fun idi eyi, emi o ri awawi fun awọn to lapa lẹsẹ lati maa tọrọ bára.</t>
  </si>
  <si>
    <t>"Awọn ti a n mu ti a si n wọ lọ ile-ẹjọ jẹ awọn ti a ti mu lọpọlọpọ igba ti wọn si n tapa sofin.</t>
  </si>
  <si>
    <t>"Ijiya wọn nile ẹjọ si da lori bi ẹsẹ wọn ba se tobi to, ileẹjọ n ran awọn mii lẹwọn, awọn mii si jẹ isẹ ilu (Community Service) lasan.</t>
  </si>
  <si>
    <t>Ohun ti ijọba n sọ ni pe, awọn o fẹ agbabara ni awọn agbegbe ti mo ti darukọ saaju, sugbọn ko si ẹsẹ ti wọn ba wa ni awọn ibi ti ijọba ni wọn le duro.</t>
  </si>
  <si>
    <t>Èyí ló ń wáyé bí Peter Obi ṣe darapọ̀ mọ́ àwọn àgbáríjọpọ̀ alátakò tí wọ́n kéde pé ẹgbẹ́ òṣèlú African Democratic Congress, ADC ni àwọn máa lò gẹ́gẹ́ bí ẹgbẹ́ òṣèlú láti tako ààrẹ Bola Tinubu níbi ètò ìdìbò ọdún 2027.</t>
  </si>
  <si>
    <t>Ṣáájú ni Peter Obi ti sọ pé ẹgbẹ́ òṣèlú ADC máa ri dájú pé àwọn máa fi àwọn ọmọ Nàìjíríà ṣáájú gbogbo nǹkan tí àwọn bá ń ṣe.</t>
  </si>
  <si>
    <t>Ọ sọ èyí lẹ́yìn tó wà níbi ìpàdé tí wọ́n ti kéde ẹgbẹ́ òṣèlú ADC gẹ́gẹ́ bí ẹgbẹ́ tí wọ́n fi máa yẹ aga mọ́ ààrẹ Tinubu nídìí 2027.</t>
  </si>
  <si>
    <t>Peter Obi sọ pé ìpinnu láti ṣe àtìlẹyìn fún ẹgbẹ́ náà kò rọrùn rárá àmọ́ ìfarajìn òun ni láti ṣiṣẹ́ pẹ̀lú àwọn tó kájú òṣùwọ̀n láti ri pé Nàìjíríà dé àbúté ògo.</t>
  </si>
  <si>
    <t>Ó wá láti inú ìrònújinlẹ̀ lórí orílẹ̀ èdè Nàìjíríà àti ọ̀nà tí a nílò láti gbà láti tẹ Nàìjíríà síwájú.</t>
  </si>
  <si>
    <t>"Kò sí ẹgbẹ́ kan tó le dá Nàìjíríà tún ṣe.</t>
  </si>
  <si>
    <t>Láti ṣe àtúnṣe àwọn nǹkan tó bá Nàìjíríà jẹ́ dé ààyè tó wà lónìí, a nílò láti gbégi dínà àwọn nǹkan, èyí tí kò rọrùn rárá." Ó ní òun gbàgbọ́ pé Nàìjíríà tuntun le wáyé.</t>
  </si>
  <si>
    <t>Peter Obi kò sọ nínú ọ̀rọ̀ pé bóyá òun ti fi ẹgbẹ́ òṣèlú Labour Party tó wà sílẹ̀ láti darapọ̀ mọ́ ADC.</t>
  </si>
  <si>
    <t>Ẹ̀wẹ̀, ẹgbẹ́ òṣèlú Labour Party ti ní àwọn fún Peter Obi ní gbèdéke ọjọ́ méjì láti kọ̀wé fipò rẹ̀ sílẹ̀ gẹ́gẹ́ bí ọmọ ẹgbẹ́ àwọn.</t>
  </si>
  <si>
    <t>Àtẹ̀jáde kan tí agbẹnusọ ẹgbẹ́ náà, Obiora Ifoh fi sórí ìkànnì X ẹgbẹ́ Labour Party lọ́jọ́bọ̀, ọjọ́ Kẹta, oṣù Keje sọ pé ẹgbẹ́ àwọn kò ṣetán láti darapọ̀ mọ́ àwọn tó jẹ́ pé wọ́n kàn ń wá ipò agbára lásán ni.</t>
  </si>
  <si>
    <t>Ó ní àwọn tó ba Nàìjíríà jẹ́ débi tó dé báyìí ni wọ́n kóra wọn jọ́ síní àgbáríjọpọ̀ náà àti pé ààpò ara wọn lásán ni wọ́n ń jà fún.</t>
  </si>
  <si>
    <t>Wọ́n ní àwọn mọ̀ pé Peter Obi ti ń gbìyànjú láti bá àwọn kan sọ̀rọ̀ nínú ẹgbẹ́ àwọn láti darapọ̀ mọ́ òun lọ sí ADC àti pé gbogbo ìpàdé alẹ́ tó ń ṣe làwọn ń gbọ́.</t>
  </si>
  <si>
    <t>"A mọ̀ pé àwọn kan ti kọ̀ pé àwọn kò tẹ̀le, a sì tẹnumọ pé àwọn ò darapọ̀ mọ́ àwọn kankan ṣáájú ètò ìdìbò tó ń bọ̀.</t>
  </si>
  <si>
    <t>Agbẹnusọ ẹgbẹ́ Labour Party náà fi kun ọ̀rọ̀ rẹ̀ pé àwọn fún Peter Obi ní ọjọ́ méjì láti ṣe ìpinnu ohun tó bá fẹ́ ṣe tàbí kó fi ẹgbẹ́ àwọn sílẹ̀.</t>
  </si>
  <si>
    <t>Àjáàbalẹ̀ ìròyìn BBC News Yorùbá lórí WhatsApp rẹ Darapọ̀ mọ́ wa nibì End of podcast promotion Níbi ìpàdé tí wọ́n ti kéde ADC gẹ́gẹ́ bí ẹgbẹ́ òṣèlú táwọn alátakò fẹ́ lò láti kojú Tinubu náà ni wọ́n ti fún David Mark àti Rauf Aregbesola ní káàdì ọmọ ẹgbẹ́ òṣèlú náà.</t>
  </si>
  <si>
    <t>Ṣáájú àsìkó yìí ni ẹgbẹ́ òṣèlú APC ní ìpínlẹ̀ Osun ti ní àwọn ti lé Aregbesola kúrò nínú ẹgbẹ́ òṣèlú náà fún àwọn ẹ̀sùn pé ó ń ṣiṣẹ́ tako ẹgbẹ́.</t>
  </si>
  <si>
    <t>Bákan náà ni David Mark ti kọ̀wé fipò rẹ̀ sílẹ̀ pé òun kò ṣe ẹgbẹ́ òṣèlú PDP mọ́.</t>
  </si>
  <si>
    <t>Ìbéèrè tó gbẹnu ọ̀pọ̀ èèyàn ni pé kí ló máa ṣẹlẹ̀ sí Peter Obi, Atiku Abubakar, Nasir El-Rufai àti bẹ́ẹ̀ bẹ́ẹ̀ lọ tí wọ́n ní ẹgbẹ́ òṣèlú yàtọ̀ sí ADC tí wọ́n ti ń ṣe àgbáríjọ.</t>
  </si>
  <si>
    <t>Gẹ́gẹ́ bí Dókítà Gbade Ojo ṣe sọ̀, ó ní òfin tó ń rí sí ètò ìbò ní Nàìjíríà ìyẹn "Electoral Act" sọ ni pé tí ẹgbẹ́ òṣèlú tí èèyàn bá wà kò bá gbe èèyàn mọ́, ààyè wà láti kọ̀wé fi ẹgbẹ́ náà sílẹ̀.</t>
  </si>
  <si>
    <t>Ó ní bí ó tilẹ̀ jẹ́ pé òfin kò fi ààyè gba èèyàn láti jẹ́ ọmọ ẹgbẹ́ òṣèlú méjì, èèyàn le fi iṣu síná kó máa fọgbọ́ wá ọ̀bẹ.</t>
  </si>
  <si>
    <t>Ó ṣàlàyé pé àwọn tí wọ́n ń kó ara wọn jọ yìí ń gbìyànjú láti palẹ̀mọ́ sílẹ̀ de ètò ìdìbò ọdún 2027 ni.</t>
  </si>
  <si>
    <t>Ó sọ pé tó bá ti ku oṣù mẹ́fà sí ètò ìdìbò, gẹ́gẹ́ bí òfin ṣe là á kalẹ̀, ni àwọn èèyàn náà máa mọ odó ti wọ́n máa da ọ̀rúnlá sí.</t>
  </si>
  <si>
    <t>"Àwọn tí kò ì tíì fi ẹgbẹ́ òṣèlú wọn sílẹ̀ ní oore di ìgbà tí ètò ìdìbò máa ku oṣù mẹ́fà kí wọ́n tó kọ̀wé fi ẹgbẹ́ sílẹ̀.</t>
  </si>
  <si>
    <t>"Ó ní iye oṣù tí òfin sọ pé èèyàn gbọ́dọ̀ lò nínú ẹgbẹ́ tuntun kó tó le gbé àpótí ìbò.</t>
  </si>
  <si>
    <t>"Tí wọ́n bá ibi tí ADC ń lọ, wọ́n máa ma kọ̀wé fipò sílẹ̀ tàbí kí wọ́n padà sínú ẹgbẹ́ tí wọ́n wà tẹ́lẹ̀, wọ́n fẹ́ mọ bí ètò ṣe máa tò ní ẹgbẹ́ tuntun tí wọ́n ń lọ.</t>
  </si>
  <si>
    <t>Festus Adedayo sọ pé òun ní ìgbàgbọ́ pé àwọn èèyàn náà máa kọ̀wé fipò wọn sílẹ̀ lẹ́gbẹ́ òṣèlú tí wọ́n wà tẹ́lẹ̀ kí wọ́n tó gbégbá ìbò nítorí ó le ṣokùnfà kí wọ́n má rì í ipò tí wọ́n ń wá.</t>
  </si>
  <si>
    <t>Ní Ọjọ́rú, ọjọ́ kejì, oṣù Keje ni àgbáríjọpọ̀ àwọn alátakò kéde pé àwọn ti yan ẹgbẹ́ òṣèlú African Democratic Congress (ADC) gẹ́gẹ́ bí ẹgbẹ́ òṣèlú tí wọn yóò ṣàmúlò.</t>
  </si>
  <si>
    <t>Ẹ ó rántí pé láti bíi oṣù mẹ́ta sẹ́yìn ni olùdíje sípò ààrẹ lẹ́gbẹ́ òṣèlú Peoples Democratic Party, PDP, Atiku Abubakar ti kéde pé òun àtàwọn kan tó jẹ́ alátakò Tinubu ti ń korá jọ láti wá ọ̀nà tí wọ́n fi máa yẹ àgá mọ́ Tinubu nídìí lọ́dún 2027.</t>
  </si>
  <si>
    <t>Lára àwọn tó wà nínú àgbáríjọ yìí ni Atiku Abubakar, Peter Obi, David Mark, Rauf Aregbesola, Rotimi Amaechi, Nasir El-Rufai àti bẹ́ẹ̀ bẹ́ẹ̀ lọ.</t>
  </si>
  <si>
    <t>Lẹ́nu ọjọ́ mẹ́ta sẹ́yìn ni awuyewuye ti ń lọ lórí ẹgbẹ́ òṣèlú táwọn alátakò náà máa yàn láàyò kí wọ́n tó kéde pé ADC ni àwọn máa lò lásìkò ètò ìdìbò tó ń bọ̀ tí àwọn fi máa tako Tinubu.</t>
  </si>
  <si>
    <t>Nígbà tí wọ́n kéde ẹgbẹ́ òṣèlú náà ni wọ́n yan David Mark àti Rauf Aregbesola gẹ́gẹ́ bí alága àti akọ̀wé fìdí ẹ ná, tí wọ́n sì gba ipò lọ́wọ́ àwọn alákòóso ẹgbẹ́ tẹ́lẹ̀.</t>
  </si>
  <si>
    <t>Onímọ̀ nípa òṣèlú ní Nàìjíríà, Dókítà Gbade Ojo sọ fún BBC pé kò sí ohun tó burú fún ẹgbẹ́ òṣèlú láti wá ọ̀nà láti gbilẹ̀, kí wọ́n hàn lágbo òṣèlú.</t>
  </si>
  <si>
    <t>Àjáàbalẹ̀ ìròyìn BBC News Yorùbá lórí WhatsApp rẹ Darapọ̀ mọ́ wa nibì End of podcast promotion Gbade Ojo ní fúnra àwọn aláṣẹ ẹgbẹ́ ADC ni wọ́n juwọ́ sílẹ̀ fún àwọn èèyàn tuntun láti gba àkóso ẹgbẹ́ wọn kí wọ́n le rọ́wọ́ mú níbi ètò ìdìbò tó ń bọ̀.</t>
  </si>
  <si>
    <t>"Iyì ẹgbẹ́ òṣèlú ni kó wà ní ìjọba, ẹgbẹ́ òṣèlú tí kò bá lè gba ìjọba, tí kò gba ìpínlẹ̀ kankan kìí ṣe ẹgbẹ́ òṣèlú.</t>
  </si>
  <si>
    <t>"Bí wọ́n ṣ juwọ́ sílẹ̀ fún wọn kò ní ipa aburú kankan fún ẹgbẹ́ wọn, ẹgbẹ́ wọn máa tún gbajúmọ̀ si ni." Ó wòye pé tó bá jẹ́ pé wọ́n finú fẹ́dọ̀ gbé àkóso ẹgbẹ́ lé àwọn èèyàn tuntun náà lọ́wọ́, láì sí ohun tó le fa ẹjọ́ lórí rẹ̀ lọ́jọ́ iwájú, ó ní wọ́n mọ̀ọ́mọ̀ ṣe bẹ́ẹ̀ láti jẹ́ kí ẹgbẹ́ wọn fi ní òkìkí si ní.</t>
  </si>
  <si>
    <t>The APC again took the matter to the Court of Appeal, where judgment was delivered on February 10, 2027</t>
  </si>
  <si>
    <t>Ó fi kun pé gẹ́gẹ́ bí òfin ṣe là á kalẹ̀, lásìkò tí wọ́n bá ń ṣe àpérò ẹgbẹ́ ni yíyan àwọn èèyàn sípò aláṣẹ máa ń wáyé àti pé àwọn tí wọ́n yàn sípò yìí kàn wà gẹ́gẹ́ bíi fìdí ẹ́ lásán ṣáájú kí wọ́n tó ṣe àpérò ni.</t>
  </si>
  <si>
    <t>"Níbi àpérò wọn ni wọ́n ti máa dìbò fáwọn aláṣẹ ẹgbẹ́ tuntun, òfin fi ààyè kí àwọn aláṣẹ ẹgbẹ́ fipò sílẹ̀ nígbà tó bá wù wọ́n, tí wọ́n sì máa yan àwọn míì sípò wọn ṣáájú àpérò míì." Fún Festus Adedayo ó ní bí ó tilẹ̀ jẹ́ pé kìí ṣe ohun tó burú pé ẹgbẹ́ òṣèlú ń wá ọ̀nà láti rọ́wọ́ mú níbi ètò ìdìbò tó ń bọ̀ pẹ̀lú bó ṣe fi ààyè gba àgbáríjọpọ̀ àwọn èèyàn láti darapọ̀ mọ́ ọn, ó ní ó jẹ́ ohun tí kò bójúmu pé ẹgbẹ́ òṣèlú máa fi àwọn ipò tó ṣe kókó rẹ̀ kalẹ̀ fáwọn àjòjì.</t>
  </si>
  <si>
    <t>Ó ní òun ní ìgbàgbọ́ pé àwọn àjọsọ kan ti máa wáyé lábẹ́nú kó tó di pé wọ́n fi ọ̀rọ̀ náà síta, tí wọ́n sì ti jọ máa ní àwọn àdéhùn kan tí wọ́n fẹnukò lé lórí.</t>
  </si>
  <si>
    <t>Níbi ìpàdé tí wọ́n ti kéde ADC gẹ́gẹ́ bí ẹgbẹ́ òṣèlú táwọn alátakò fẹ́ lò láti kojú Tinubu náà ni wọ́n ti fún David Mark àti Rauf Aregbesola ní káàdì ọmọ ẹgbẹ́ òṣèlú náà.</t>
  </si>
  <si>
    <t>Gẹ́gẹ́ bí Dókítà Gbade Ojo ṣe sọ̀, ó ní òfin tó ń rí ètò ìbò ní Nàìjíríà ìyẹn "Electoral Act" sọ ni pé tí ẹgbẹ́ òṣèlú tí èèyàn bá wà kò bá gbe èèyàn mọ́, ààyè wà láti kọ̀wé fi ẹgbẹ́ náà sílẹ̀.</t>
  </si>
  <si>
    <t>Ó ṣojú ẹkùn Gúúsù ìpínlẹ̀ Benue fún ọdún pípẹ́ ní ilé aṣòfin àgbà, tó sì ṣe ààrẹ ilé aṣòfin fún ọdún mẹ́jọ láàárín ọdún 2007 sí 2015 lábẹ́ àsíá ẹgbẹ́ òṣèlú Peoples Democratic Party, PDP.</t>
  </si>
  <si>
    <t>Ní ọjọ́rú ni David Mark kéde pé òun ti fi ẹgbẹ́ òṣèlú PDP sílẹ̀ tí òun sì ti darapọ̀ mọ́ àgbáríjọpọ̀ àwọn alátakò láti gba orílẹ̀ èdè Nàìjíríà kalẹ̀ àti láti ri dájú pé ètò ìṣèjọba àwaarawa ń tẹ̀síwájú.</t>
  </si>
  <si>
    <t>Ọlọ́wọ́ ọ̀tún Tinubu tẹ́lẹ̀ ni Ọ̀gbẹ́ni Rauf Aregbesola báwọn èèyàn ṣe máa ń pè é.</t>
  </si>
  <si>
    <t>Gbogbo ọdún mẹ́jọ tí Tinubu fi ṣe gómìnà ìpínlẹ̀ Eko ni Aregbesola fi ṣe kọmíṣánnà lábẹ́ rẹ̀.</t>
  </si>
  <si>
    <t>Lẹ́yìn náà ló ló díje sípò gómìnà ìpínlẹ̀ Osun tó sì wọlé pẹ̀lú àtìlẹyìn Tinubu.</t>
  </si>
  <si>
    <t>Ọdún mẹ́jọ ni Aregbesola lò gẹ́gẹ́ bí gómìnà ìpínlẹ̀ Osun.</t>
  </si>
  <si>
    <t>Ìfaǹfà tó wáyé láàárín Adegboyega Oyetola tó ṣe gómìnà Osun lẹ́yìn Aregbesola wà lára ohun tó ṣokùnfà ìrẹ́pọ̀ tí kò sí láàárín òun àti Tinubu mọ́.</t>
  </si>
  <si>
    <t>Aregbesola ni akọ̀wé fìdí ẹ́ fún ẹgbẹ́ òṣèlú ADC báyìí tó sì sọ nínú ọ̀rọ̀ rẹ̀ pé iṣẹ́ tí àwọn gbé dání kìí ṣe iṣẹ́ kékeré rárá àmọ́ àwọn máa sa ipa láti rip é àwọn jagun náà bọ́.</t>
  </si>
  <si>
    <t>Atiku Abubakar tó ti fpigbà kan jẹ́ igbákejì ààrẹ tẹ́lẹ̀ rí ní Nàìjíríà wà lára àwọn tó dá ẹgbẹ́ òṣèlú APC sílẹ̀ lọ́dún 2015.</t>
  </si>
  <si>
    <t>Ó wà lára èèkàn gbòógì tí wọ́n dá New-PDP sílẹ̀ lọ́dún náà kí wọ́n tó darapọ̀ mọ́ APC ṣáájú ètò ìdìbò gbogbogbò àmọ́ tó padà padà sí PDP tó sì jẹ́ olùdíje sípò ààrẹ lọ́dún 2019 àti 2023.</t>
  </si>
  <si>
    <t>Olùdíje sípò ààrẹ lọ́dún 2023 lẹ́gbẹ́ òṣèlú Labour Party, LP, Peter Obi wà lára àwọn tí wọ́n dá ẹgbẹ́ tuntun yìí sílẹ̀.</t>
  </si>
  <si>
    <t>Peter Obi ṣe gómìnà ìpínlẹ̀ Anambra fún sáà méjì láàárín ọdún 2006 sí 2014.</t>
  </si>
  <si>
    <t>Lọ́dún 2019 ló díje gẹ́gẹ́ bí igbákejì ààrẹ pẹ̀lú Atiku Abubakar lábẹ́ àsíá ẹgbẹ́ òṣèlú PDP kó tó fi PDP sílẹ̀ lọ́dún 2022 bọ́ sí ẹgbẹ́ òṣèlú Labour Party.</t>
  </si>
  <si>
    <t>Ọ̀kan lára àwọn èèyàn Tinubu tẹ́lẹ̀ náà ni El-Rufai kó tó di pé ìjà dé sí ààrin wọn.</t>
  </si>
  <si>
    <t>Ó wà lára àwọn tí ààrẹ fi orúkọ wọn ṣọwọ́ sí ilé aṣòfin àgbà fún ipò mínísítà ṣùgbọ́n tí wọn kò buwọ́lùú.</t>
  </si>
  <si>
    <t>Ní oṣù Kẹta ni El-Rufai kéde pé òun ti kọ̀wé fipò sílẹ̀ gẹ́gẹ́ bí ọmọ ẹgbẹ́ òṣèlú APC tó si darapọ̀ mọ́ ẹgbẹ́ òṣèlú SDP.</t>
  </si>
  <si>
    <t>El-Rufai, tó ṣe gómìnà ìpínlẹ̀ Kaduna f;un ọdún mẹ́jọ wà lára àwọn olóṣèlú tó mú àgbáríjọpọ̀ tuntun yìí ṣinṣin.</t>
  </si>
  <si>
    <t>Tambuwal ṣe abẹnugan ilé aṣojúṣòfin kó tó di gómìnà ìpínlẹ̀ Sokoto níbi tó ti ṣe sáà méjì.</t>
  </si>
  <si>
    <t>Ó wà lára àwọn tó dá APC sílẹ̀ lọ́dún 2015 kó tó padà sínú ẹgbẹ́ PDP lọ́dún 2018.</t>
  </si>
  <si>
    <t>Àwọn míì ni Sule Lamido, Babangida Aliyu, Sam Egwu, Liyel Imoke, Uche Secondus, Dino Melaye àti bẹ́ẹ̀ bẹ́ẹ̀ lọ.</t>
  </si>
  <si>
    <t>Lana ọjọ kinni oṣu Keje ọdun yii ni ẹgbẹ ADC ṣe ikede awọn oloye ẹgbẹ ọhun lẹyin ipade awọn alẹnulọrọ ẹgbẹ naa to waye niluu Abuja.</t>
  </si>
  <si>
    <t>Ireti wa wi pe nibi ipade ẹgbẹ naa ti yoo waye l'Ọjọru oni ni gbogbo ile yoo ti buwọlu iyansipo naa ti ko si ni jẹ fidihẹẹ mọ.</t>
  </si>
  <si>
    <t>Akọwe iroyin ẹgbẹ oṣelu PDP tẹlẹ to tun jẹ oludamọran fun Sẹnẹtọ Mark tẹlẹri, Kola Ologbondiyan, lo fọrọ naa lede loju opo X rẹ.</t>
  </si>
  <si>
    <t>O ṣalaye loju opo X rẹ pe ''ẹgbẹ oṣelu ADC ti di ẹgbẹ osẹlu agbarijọpọ awọn oloṣelu.</t>
  </si>
  <si>
    <t>Àjáàbalẹ̀ ìròyìn BBC News Yorùbá lórí WhatsApp rẹ Darapọ̀ mọ́ wa nibì End of podcast promotion O ni ofifo agba lasan lọpọ ẹgbẹ oṣelu ni Naijiria pẹlu bawọn ẹgbẹ naa ṣe n tuka tawọn ọmọ ẹgbẹ si n darapọ mọ awọn ẹgbẹ mii Aregbesola ni ''ọpọ ẹgbẹ oṣelu ni Naijiria ni ẹnikẹni ko le so nnkan ti wọn duro fun gan an.</t>
  </si>
  <si>
    <t>Wọn kuro lati ẹgbẹ kan si omiran nitori agbara, kii ṣe nitori araalu, kii sii ṣe nitori ifẹ ti wọn ni si orilẹede Naijiria gan an.</t>
  </si>
  <si>
    <t>Ẹgbẹ oṣelu tiwa ko gbọdọ ri bayii, kii ṣe iru ẹgbẹ bayii lemi maa wa.</t>
  </si>
  <si>
    <t>A gbọdọ jẹ ẹgbẹ oṣelu ti yoo maa sọ nipa eto ẹkọ, a ni lati maa kọ ile ẹkọ.</t>
  </si>
  <si>
    <t>A tun gbọdọ maa sọ nipa eto abo fun araalu, bakan naa ni ẹgbẹ ADC gbọdọ maa sọ nipa ipese iṣẹ fun araalu.</t>
  </si>
  <si>
    <t>Awọn nnkan wọnyi ni ṣe pẹlu ohun ti yoo ṣe anfaani fun orilẹede Naijria.</t>
  </si>
  <si>
    <t>Kii kan ṣe ọrọ eto idibo nikan ni a maa sọrọ nipa rẹ, bi ko ṣe eto iṣejọba to dara,'' Aregbesola ṣalaye.</t>
  </si>
  <si>
    <t>Aregbesola ni iṣẹ pọ fawọn lati ṣe ninu ẹgbẹ ADC ni toootọ, amọ, o gbagbọ wi pe ẹgbẹ ADC le mu ayipada ọtun ba orilẹede Naijiria.</t>
  </si>
  <si>
    <t>''Iṣẹ to wa niwaju wa ko rọrun rara, o si maa gba akoko pẹlu nitori iṣẹ naa nilo ifara ẹni jin.</t>
  </si>
  <si>
    <t>Amọ, nnkan to ṣee ṣe ni, nitori naa ni mo fi beere fun atilẹyin yin.</t>
  </si>
  <si>
    <t>Mo fẹ ki gbogbo eeyan duro ti wa bi a ti bẹrẹ irinajo ọtun yii ninu eto oṣelu Naijiria.</t>
  </si>
  <si>
    <t>A fẹ lo ẹgbẹ oṣelu ADC lati da eto oṣelu pada sibi to yẹ ko wa ni Naijiria,'' Aregbesola lo sọ bẹẹ.</t>
  </si>
  <si>
    <t>Oniruuru oloṣelu lati inu awọn ẹgbẹ alatako lo korajọ pọ lati da ẹgbẹ oṣelu ADC silẹ lati le koju ẹgbẹ oṣelu APC to jẹ ẹgbẹ Aarẹ Bola Tinubu ninu eto idibo gbogbogbo ọdun 2027.</t>
  </si>
  <si>
    <t>Lara awọn abẹnugan to n pe fun ajọsẹpọ awọn ẹgbẹ oṣelu alatako ni igbakeji aarẹ Naijiria tẹlẹ, Atiku Abubakar; oludije aarẹ fẹgbẹ oṣelu LP ninu ibo aarẹ ọdun 2023, Peter Obi, gomina ipinlẹ Kaduna tẹlẹ ri, Nasir el-Rufai; ati minisita igbokegbodo ọkọ tẹlẹ ri ni Naijiria, Rotimi Amaechi.</t>
  </si>
  <si>
    <t>Loṣu Karun un to kọja lawọn adari egbẹ oṣelu alatako ni Naijiria pinnu lati lo ẹgbẹ oṣelu ADC lati koju APC ninu eto idibo ọdun 2027.</t>
  </si>
  <si>
    <t>Nigba to n sọrọ lọsẹ ti kọja, Ralph Nwosu, to da ẹgbẹ naa silẹ sọ pe o ni idi tawọn fi yan Sẹnẹtọ David Mark gẹgẹ bi alaga ẹgbẹ naa.</t>
  </si>
  <si>
    <t>Ẹwẹ, adele alaga ẹgbẹ oṣelu APC, Ali Bukar Dalori, ti sọ pe bawọn ẹgbẹ oṣelu alatako ṣe kora jọ pọ ko tun irun kankan lara ẹgbẹ naa.</t>
  </si>
  <si>
    <t>Dalori to bẹrẹ iṣẹ lana ọjọ Aje ti kọkọ wa nipo igbakeji alaga ẹgbẹ oṣelu APC lẹkun ariwa Naijiria tẹlẹ.</t>
  </si>
  <si>
    <t>Ninu ifọrọwanilẹnu to ṣe pẹlu BBC Hausa, Dalori ni ohun to ṣe pataki foun bayii ni yiyanju ikunsinu to wa laarin awọn ọmo ẹgbẹ oṣelu APC lawọn ipinlẹ ati ijọba ibilẹ kaakiri Naijiria.</t>
  </si>
  <si>
    <t>''Mo maa gbiyanju lati ri wi pe gbogbo ọmọ ẹgbẹ APC ti wọn ni ikunsinu si ara wọn ni mo yanju rẹ.</t>
  </si>
  <si>
    <t>Mo maa jokoo pẹlu wọn lati yanju ọrọ naa tori a nilo ara wa ninu ẹgbẹ,'' Dalori lo sọ bẹẹ.</t>
  </si>
  <si>
    <t>Adele alaga ẹgbẹ APC ko ṣai fidi rẹ mulẹ pe ẹgbẹ ko tii mu ọjọ kan gboogi fun ipade gbogbogbo kaakiri Naijiria tori awọn ni lati bawọn agbaagba ẹgbẹ sọrọ na kawọn to mu ọjọ.</t>
  </si>
  <si>
    <t>Gomina ipinlẹ Kano tẹlẹ naa fipo alaga silẹ lẹyin to ti fẹrẹ lo to ọdun meji, iyẹn lẹyin ti Sẹnetọ Abdullahi Adamu, alaga fidihẹ-ẹ to wa nipo naa kọwe fipo kan naa silẹ.</t>
  </si>
  <si>
    <t>Awọn o ṣoju mi koro kan lati ile ijọba Naijiria, sọ fun BBC pe lati ọfiisi aarẹ ni aṣẹ ti wa, pe ki Ganduje kọwe fipo naa silẹ.</t>
  </si>
  <si>
    <t>Wọn ni ki i ṣe pe o wu u lati lọ lojiji rara.</t>
  </si>
  <si>
    <t>" Lati Ọjọbọ ni aṣẹ ti wa pe ki Ganduje kọwe fipo silẹ, nigba to si di aarọ ọjọ Ẹti, o fiwe naa ranṣẹ sibi to yẹ pe oun ti kuro nipo alaga." Bẹẹ ni ẹnikan lara awọn o ṣoju mi koro naa wi.</t>
  </si>
  <si>
    <t>Awọn kan gba iwe lọọ rọ ọ kun nile ninu awọn alaga yii, wọn le awọn mi-in lọ patapata, wọn si paṣẹ tulaasi fun awọn alaga mi-in lati kọwe fipo silẹ.</t>
  </si>
  <si>
    <t>Iwa yii ni awọn awoye oṣelu sọ pe ko ni itumọ meji, ju pe awọn kan ti wọn fẹran imọtaraẹni nikan ni wọn n paṣẹ onikumọ fun awọn alaga ẹgbẹ apapọ ẹgbẹ oṣelu lorilẹede yii.</t>
  </si>
  <si>
    <t>Ọmọwe Yakubu Haruna Ja'e, ọga agba lẹka ẹkọ nipa oṣelu ni Yunifasiti ipinlẹ Kaduna, sọ fun BBC pe eyi to ṣẹlẹ yii naa ko ṣẹyin magomago ti awọn oloṣelu maa n ṣe.</t>
  </si>
  <si>
    <t>O ni wọn n ṣe bẹẹ lati roko si ọdọ ara wọn nikan ni.</t>
  </si>
  <si>
    <t>" Awọn olori ẹgbẹ oṣelu kan naa wa ti wọn maa n ṣe oju meji bii ọbẹ, awọn kan si wa to jẹ bi awọn oloṣelu ẹgbẹ wọn ba ti ri i pe wọn ko ṣe ohun tawọn n fẹ, wọn maa le wọn danu ni.</t>
  </si>
  <si>
    <t>" Ọmọwe Yakubu Haruna Ja'e, lo ṣalaye bẹẹ.</t>
  </si>
  <si>
    <t>Abdullahi Adamu:  Ọdun kan ati oṣu diẹ ni ọkunrin naa lo nipo alaga apapọ APC to fi kuro.</t>
  </si>
  <si>
    <t>Gomina ipinlẹ Nasarawa tẹlẹ naa kọwe fipo silẹ lẹyin ti ede aiyede kan waye laaarin rẹ ati Aarẹ Tinubu.</t>
  </si>
  <si>
    <t>Mai Mala Buni:  Loṣu Kẹfa ọdun 2020, ni wọn yan an bii alaga Fidihẹ-ẹ fun ẹgbẹ APC.</t>
  </si>
  <si>
    <t>Iyansipo Mai Mala waye lẹyin rogbodiyan to koju APC pẹlu Adams Oshiomhole to jẹ alaga nigba naa.</t>
  </si>
  <si>
    <t>Aroye ọlọkan-o-jọkan lo waye lori eyi, wọn si pada de kootu pẹlu.</t>
  </si>
  <si>
    <t>Adams Oshiomole: Oṣu Kẹfa ọdun 2018 ni wọn yan Senato Adams Oshiomole bii alaga ẹgbẹ APC lapapọ,  ṣugbọn o koju iṣoro pupọ, o si pada fipo naa silẹ lẹyin ọdun meji.</t>
  </si>
  <si>
    <t>John Odigie Oyegun: Wọn yan an ni 2014 lẹyin alaga Fidihẹ-ẹ akọkọ.</t>
  </si>
  <si>
    <t>Eyi ni awọn ti wọn ti dipo alaga apapọ mu ri fun PDP naa.</t>
  </si>
  <si>
    <t>Iyorchia Ayu: Wọn ni ko lọọ rọ ọ kun nile nigba ti rogbodiyan bẹ silẹ ninu ẹgbẹ.</t>
  </si>
  <si>
    <t>Oṣu Kẹwaa ọdun 2021 ni gomina ipinlẹ Benue tẹlẹ naa di alaga PDP.</t>
  </si>
  <si>
    <t>Ṣugbọn loṣu Kẹta 2023, wọn da Iyorchia Ayu duro, wọn si yan Iliya Damagum to wa nibẹ lọwọ yii.</t>
  </si>
  <si>
    <t>Uche Secondus: Ni ọjọ kẹwaa, oṣu Kejila ọdun 2017 ni wọn yan an bii olori ẹgbẹ , ṣugbọn oun naa ko oju iṣoro to gbe e de kootu.</t>
  </si>
  <si>
    <t>O pada fipo silẹ pe oun o ṣe mọ.</t>
  </si>
  <si>
    <t>Awọn yooku ni Ahmed Makarfi Ali Modu Sheriff Bamanga Tukur Adamu Mu'azu Gẹgẹ bi alaye Ọmọwe Yakubu Haruna Ja'e, iyọnipo tabi ikọwefipo silẹ  maa n mu ifasẹyin ba ijọba awaarawa ni Naijiria ni.</t>
  </si>
  <si>
    <t>"Nitori rogbodiyan abẹnu yoo maa koju wọn lọpọ igba, awọn kan yoo maa le bi wọn a ṣe ri nnkan pọnla , ki wọn si le maa fi awọn yooku ṣe ero ẹyin." Bakan naa lo ni ẹgbẹ to ba n koju iṣoro yii ko ni i ri aaye yanju ohun to yẹ ninu ẹgbẹ.</t>
  </si>
  <si>
    <t>Ọrọ nipa ileigbe Gomina ti ijọba ipinlẹ Ọyọ kede rẹ wi pe yoo jẹ titunṣe pẹlu owo to le ni Billiọnu mẹtalegọta Naira.</t>
  </si>
  <si>
    <t>Ọpọlọpọ awuyewuye ni ikede naa ti mu lọwọ, bẹrẹ lati ori itakun ayelujara ati ọdọ awọn ẹgbẹ oṣelu alatako.</t>
  </si>
  <si>
    <t>BBC Yoruba kan si ijọba ipinlẹ Ọyọ lati tan imọlẹ si ariwo ti awọn eeyan n pa lori igbesẹ naa.</t>
  </si>
  <si>
    <t>Alaye ti Kọmisana fun eto iroyin n'ipinlẹ Ọyọ, Ọmọọba Dọtun Oyelade ṣe fun akọroyin wa ni pe ojule mọkalelogun ọtọọtọ lo nilo atunṣe njnu ọgba ile igbe naa.</t>
  </si>
  <si>
    <t>Oyelade ni ẹni kankan ko ke gbajare lori ọgọsan an billiọnu Naira ti Gomina Ṣeyi Makinde fi n san owo oṣu awọn oṣiṣẹ lọdọọdun ati awọn iṣẹ ribiribi mii ti ijọba n ṣe fun araalu, ṣugbọn ọrọ ile ti Gomina ati awọn alejo rẹ fẹ maa de si lo wa di ariwo.</t>
  </si>
  <si>
    <t>Komisana fun eto iroyin n'ipinlẹ Ọyọ tun fi kun ọrọ rẹ wi pe lara awọn iredi ti owo naa fi pọ ni pe oke okun ni wọn o ti ra gbogbo ohun elo ikọle ti wọn fẹ lo si ileigbe naa, ati wi pe "gbogbo ni a mọ nnkan ti Dollar n sọ".</t>
  </si>
  <si>
    <t>Bakan naa ni a ba alukoro ẹgbẹ oṣelu APC ipinlẹ, Wale Sadare sọrọ, alaye to ṣe ni pe ko si nnkan to buru ninu atunṣe ti ijọba ipinlẹ Ọyọ fẹ ṣe, ṣugbọn owo ti wọn bu fun akanṣe iṣẹ naa ti pọ ju.</t>
  </si>
  <si>
    <t>Sadare ni ọpọlọpọ eeyan ipinlẹ Ọyọ ni billiọnu mẹtalelọgọ Naira le yọ kuro ninu iṣẹ ati oṣi, bi ijọba ba na owo naa bi o ti tọ.</t>
  </si>
  <si>
    <t>Aarẹ Naijiria tẹlẹ ri, Jonathan sọ pe oun pinnu lasiko naa lati ma fi ipo oun silẹ pẹlu gbogbo wahala to sẹlẹ nigba naa nitori nnkan ti ofin sọ.</t>
  </si>
  <si>
    <t>Jonathan ni ipinnu naa debi wi pe oun ṣetan lati duro lori ẹsẹ oun koda ti ọrọ naa ba maa mu ẹmi oun lọ.</t>
  </si>
  <si>
    <t>Jonathan sọ ninu ifọrọwanilẹniwo kan to ṣe pẹlu ẹgbẹ Rainbow Book Club wi pe Yar'Adua buwọlu lẹta ti yoo foun lagbara lati maa ṣe adele aarẹ.</t>
  </si>
  <si>
    <t>Amọ, o ni amugbalẹgbẹ Yar'Adua kan lo gbẹsẹ le lẹta ọhun ti ko fi de ile aṣofin agba.</t>
  </si>
  <si>
    <t>Eyi fa awuyewuye ni Naijiria lasiko naa, Jonathan ni lara awọn ilakọja to lagbara julọ ti orilẹede Naijiria koju ni akoko naa jẹ.</t>
  </si>
  <si>
    <t>Àjáàbalẹ̀ ìròyìn BBC News Yorùbá lórí WhatsApp rẹ Darapọ̀ mọ́ wa nibì End of podcast promotion Aarẹ Naijiria tẹlẹ sọ pe ''ibẹru-bojo gbalẹ kaakiri orilẹede Naijiria, iyapa loriṣiiriṣii bii iyapa laarin awọn eeyan ariwa ati guusu Naijiria.</t>
  </si>
  <si>
    <t>Bakan naa ni iyapa laarin awọn ọmọlẹyin Kristi atawọn musulumi naa wa nibẹ.'' O ni adehun kan ti ko ni akọsilẹ wa nilẹ pe ẹni to ba jẹ aarẹ lati apa ariwa yoo lo ọdun mẹjọ lori ipo aarẹ lẹyin ti Oloye Olusegun Obasanjo to lo ọdun mẹjọ gẹgẹ bi aarẹ Naijiria.</t>
  </si>
  <si>
    <t>Jonathan ni loootọ loun le ṣe awọn nnkankan gẹgẹ bi igbakeji aarẹ, ṣugbọn oun ko ni le dari gbogbo ileeṣẹ ọmogun Naijiria lai di adele aarẹ.</t>
  </si>
  <si>
    <t>O ni gbogbo rudurudu to n ṣẹlẹ lo mu ki ile aṣofin pada foun lagbara lati maa ṣe adele aarẹ.</t>
  </si>
  <si>
    <t>Aarẹ Naijiria tẹlẹ ri sọ pe awọn ọrẹ oun kan gboun ni imọra lati kuro lori oye ki wọn ma ba pa oun.</t>
  </si>
  <si>
    <t>''Mo ranti ọjọ kan ti mo si wa nipo igbakeji aarẹ tawọn ọrẹ mi kan sọ fun mi pe ki n ma sun nile ijọba mọ.</t>
  </si>
  <si>
    <t>Mo ni rara wi pe ileeṣẹ ijọba ni mo maa sun, ki ẹni to ba fẹ pami wa pami sibẹ.</t>
  </si>
  <si>
    <t>O tẹmi lọrun ki wọn pami sile ijọba tori awọn ọmọ Naijiria yoo mọ pe nibẹ lawọn agbenipa ti ṣeku pami.</t>
  </si>
  <si>
    <t>Wọn mọ pe mi o ṣẹ si ofin lọna kankan, ṣugbọn ti mo ba lọ sun sile itura kan gẹgẹ bi imọran tawọn ọrẹ mi fun mi ni wọn maa sọ pe awọn obinrin India kan lo wa fun mi ni eso jẹ nibẹ lati pami,'' Jonathan ṣalaye Ile aṣofin agba pada ro Jonathan lagbara ti o fi di adele aarẹ loṣu Keji ọdun 2010, o si pada di aarẹ Naijiria loṣu Karun un ọdun kan naa lẹyin ti Yar'Adua jade laye.</t>
  </si>
  <si>
    <t>Ọjọ ti pẹ diẹ ti awọn eeyan kan ti n sọ pe, nnkan ko rọgbọ ninu ẹgbẹ naa, amọ ti alaga naa fi ọwọ rọ gbogbo ahesọ wọn sẹyin.</t>
  </si>
  <si>
    <t>Oludari ikede ati ipolongo fun ẹgbẹ APC, Bala Ibrahim, sọ fun BBC pe, koko idi ti Ganduje sọ pe o mu oun kọwe fi ipo silẹ ni eto ilera.</t>
  </si>
  <si>
    <t>"Gbogbo eeyan lo gba pe ipinnu Ganduje jẹ eyi to dara, ti awọn si yọnda pe ko lọ ọ tọju ara rẹ, ti ẹgbẹ yoo si gbaju mọ ṣiṣe awọn nnkan ti yoo ro o lagbara, ati eyi ti yoo mu ko ṣe aṣeyọri ninu awọn idibo to n bọ." Ọgbẹni Bala Ibrahim tun sọ pe irọ patapata ni awọn iroyin to n lọ pe alaafia ko si ninu ẹgbẹ, paapaa nipa ikọwe fi ipo silẹ Ganduje.</t>
  </si>
  <si>
    <t>O ni "ahesọ lasan ni iroyin ti eeyan ko ṣe iwadii lori rẹ ko to o gbe jade, ẹṣẹ si ni ki eeyan ma a ṣe gbọyi-sọyi." Agbẹnusọ fun ẹgbẹ oṣelu APC ni, "lori ọrọ ta ni yoo rọpo alaga to n lọ, ẹgbẹ ni iwe ofin to ṣalaye ilana bi wọn yoo ṣe yan eeyan lati ariwa tabi guusu.</t>
  </si>
  <si>
    <t>"Eeyan to wa lati agbegbe ti alaga to kọwe fipo silẹ ti wa ni wọn gbọdọ yan ko jẹ adele titi eto idibo ẹgbẹ oṣelu yoo fi waye." O fikun ọrọ rẹ pe, "Alaga to n lọ, Ganduje, lo wa lati apa Ariwa, ti Bukar Dalori yoo si wa gẹgẹ adele fun ipo alaga titi a o fi yan alaga miiran ninu eto idibo." Abdullahi Umar Ganduje kọwe fipo silẹ lẹyin ọdun meji gẹgẹ bii alaga ẹgbẹ oṣelu All Progressives Congress.</t>
  </si>
  <si>
    <t>Igbesẹ rẹ yii lo waye lẹyin ti rogbodiyan bẹ silẹ ni ọsẹ to kọja nibi ipade ẹgbẹ oṣelu APC ni Ariwa Naijiria.</t>
  </si>
  <si>
    <t>Nibi ipade naa ni awọn ọmọ ẹgbẹ kan ti yari lori bi Aarẹ Tinubu ko ṣe kede igbakeji rẹ, Kashim Shettima, gẹgẹ bii ẹni ti wọn yoo jọ jade dupo gẹgẹ bii Aarẹ ati Igbakeji nibi eto idibo aarẹ odun 2027.</t>
  </si>
  <si>
    <t>Abdullahi Umar ni wọn bi ni abule Ganduje nijọba ibilẹ Dawakin Tofa nipinlẹ Kano lọdun 1949.</t>
  </si>
  <si>
    <t>O bẹrẹ si ni ka Kurani ati imọ nipa Islam ni abule ọhun, to si tun lọ  si ile ẹkọ alakọbẹrẹ Dawakin Tofa lati ọdun 1956 si 1963.</t>
  </si>
  <si>
    <t>Ganduje lọ si ile ẹkọ girama Birnin Kudu ni ọdun 1964, to si kẹkọ jade ni ọdun 1968.</t>
  </si>
  <si>
    <t>Bakan naa lo tun lọ si ile ẹkọ fun awọn olukọ ni Kano laarin ọdun 1969 si 1972.</t>
  </si>
  <si>
    <t>Gomina ana nipinlẹ Kano ni, o si gba oye imọ eto ẹkọ lati fasiti Ahmadu Bello, Zaria, nipinlẹ Kaduna ni ọdun 1975.</t>
  </si>
  <si>
    <t>Ni ọdun 1979, o gba oye Masters lati ile ẹkọ fasiti Bayero, Kano, to si tun pada lọ si fasiti Ahmadu Bello ni ọdun 1984 si 1985 lati lọ kọ ẹkọ nipa ato ile, Public Administration.</t>
  </si>
  <si>
    <t>O gba oye PhD lati fasiti ti ilu Ibadan ni ọdun 1993.</t>
  </si>
  <si>
    <t>Ganduje darapọ mọ ẹgbẹ oṣelu NPN lasiko ijọba alagbada keji, to si jẹ igbakeji abẹnugan ile igbimọ aṣofin ipinlẹ Kano lati ọdun 1979 si 1980.</t>
  </si>
  <si>
    <t>O jade dupo fun ile igbimọ aṣofin kekere ni ọdun 1979 labẹ ẹgbẹ oṣelu NPN ṣugbọn o lulẹ.</t>
  </si>
  <si>
    <t>Ni ọdun 1998, o darapọ mọ ẹgbẹ oṣelu PDP, to si gbiyanju lati gba tikẹẹti dupo gomina ṣugbọn lẹẹkansi o lulẹ sọwọ Rabi'u Musa Kwankwaso.</t>
  </si>
  <si>
    <t>Ṣugbọn Ganduje wọle gẹgẹ bii igbakeji gomina fun Kwankwaso laarin ọdun 1999 si 2003.</t>
  </si>
  <si>
    <t>Bakan naa ni wọn tun jọ jade dupo, ti wọn si wọle ni Kano laarin ọdun 2011 si 2015.</t>
  </si>
  <si>
    <t>Ni ọdun 2015, Dr.</t>
  </si>
  <si>
    <t>Abdullahi Umar Ganduje wọle gẹgẹ bii Gomina ipinlẹ Knao, to si lo sa meji laarin ọdun 2015 si 2023.</t>
  </si>
  <si>
    <t>Ile ijọba, Aso Rock niluu Abuja ni ipade ọhun ti waye lalẹ Ọjọbọ, ọjọ kẹrindinlọgbọn, oṣu Kẹfa ọdun 2025.</t>
  </si>
  <si>
    <t>Awọn aworan ọlọkan-o-jọkan to n ṣafihan Wike ati Fubara nibi ti wọn ti n bọ ara wọn lọwọ pẹlu ẹrin lo gba ori ayelujara kan.</t>
  </si>
  <si>
    <t>Bakan naa ni awọn ọmọ ile igbimọ aṣofin Rivers ati Aarẹ Tinubu ko gbẹyin ninu awọn fọto naa.</t>
  </si>
  <si>
    <t>Eyi jẹ ki ọpọ eeyan maa nigbagbọ pe o ṣee ṣe ki opin de ba ijọba pajawiri to n lọ lọwọ nipinlẹ Rivers, ti Fubara yoo si gba ipo rẹ pada.</t>
  </si>
  <si>
    <t>Ẹ o ranti pe rogbodiyan oṣelu to bẹ silẹ ni Rivers, paapaa laaarin Wike ati Fubara, lo fa a ti Aarẹ fi kede ilu o fararọ nibẹ.</t>
  </si>
  <si>
    <t>Ọjọ kejidinlogun, oṣu Kẹta ọdun 2025 ni Aarẹ Tinubu juwe ile fun Fubara, to fi Ajagunfẹyinti Vice Admiral Ibok-Ete Ekwe ṣe adari ipinlẹ Rivers.</t>
  </si>
  <si>
    <t>Gẹgẹ bi Wike ṣe wi lẹyin ipade yii, o ni oun ti ṣetan lati ṣiṣẹ  pẹlu Fubara, Fubara pẹlu si ti ṣetan lati ṣiṣẹ pẹlu oun.</t>
  </si>
  <si>
    <t>Wike sọ pe aigbọraẹni ye lo waye, ọmọ ẹgbẹ oṣelu kan naa ni awọn.</t>
  </si>
  <si>
    <t>O lawọn ti pada bayii ni awọn ṣe waa ba Aarẹ Tinubu.</t>
  </si>
  <si>
    <t>Ninu ọrọ Fubara, gomina ti wọn ni ko lọọ sinmi na, o ni inu oun dun pẹlu ipade yii.</t>
  </si>
  <si>
    <t>Fubara ṣalaye pe eyi fi han pe alaafia yoo pada jọba ni Rivers, awọn yoo si ri i pe ọrẹ tawọn bẹrẹ yii ko ni i pada di ọta mọ.</t>
  </si>
  <si>
    <t>Lara awọn ohun to fa rogbodiyan naa ree: Igbẹsẹ awọn aṣofin lati yọ gomina Fubara nipo, eyi to waye loṣu Kẹwaa ọdun 2023.</t>
  </si>
  <si>
    <t>Awọn kan wa lẹyin Fubara, ṣugbọn ọpọ lo tẹlẹ Wike to wa lẹyin iyọnipo naa.</t>
  </si>
  <si>
    <t>Wọn dana sun ile igbimọ aṣofin ipinlẹ Rivers, wọn ba awọn apa kan ibẹ jẹ, bẹẹ ni awọn kan n kuro ni PDP lọ si APC, bo tilẹ jẹ pe wọn pada sọ pe awọn ko fi ẹgbẹ silẹ.</t>
  </si>
  <si>
    <t>Ẹjọ ọlọkan-o-jọkan ni kootu, ti ile ẹjọ si sọ pe Martin Amaewhule loun mọ ni Abẹnugan ile igbimọ aṣofin Rivers.</t>
  </si>
  <si>
    <t>To fagile ibo ijọba ibilẹ ti gomina Fubara ṣe.</t>
  </si>
  <si>
    <t>Ile ẹjọ to ga julọ paṣẹ pe ki Fubara tun aba iṣuna 2025 rẹ gbe kalẹ lọdọ Amaewhule.</t>
  </si>
  <si>
    <t>Ṣugbọn wọn ko ti i fẹnuko lori eyi ti Aarẹ Tinubu fi ni ki Fubara fipo silẹ, lọjọ kejidinlogun oṣu Kẹta, 2025.</t>
  </si>
  <si>
    <t>Aarẹ da awọn eeyan ile igbimọ aṣofin ipinlẹ naa duro pẹlu, o si kede ilu o fararọ.</t>
  </si>
  <si>
    <t>Ọpọ eeyan lo koro oju si iyansipo Ajagunfẹyinti Vice Admiral Ibok-Ete Ekwe Ibas, ọmọ ipinlẹ Cross River, ti ijọba ni ko maa tukọ Rivers lọ.</t>
  </si>
  <si>
    <t>*Iyansipo awọn alabojuto ijọba ibilẹ mẹtalelogun nipinlẹ Rivers, tun da aroye silẹ.</t>
  </si>
  <si>
    <t>Ọpọ eeyan lo n sọ pe eyi fi sibi kan, ati pe ẹgbẹ oṣelu kan ṣoṣo lo n jẹ anfaani rẹ.</t>
  </si>
  <si>
    <t>*Ibuwọ lu ọmọ ipinlẹ Cross River mi-in, Micheal Ekpai lati dari eto idibo ijọba ibilẹ Rivers naa si n fa awuyewuye.</t>
  </si>
  <si>
    <t>Ṣugbọn boya ọrẹ ti Wike ati Fubara ni awọn yoo bẹrẹ pada yii yoo mu ayipada rere wa laipẹ ni ẹnikẹni ko ti mọ.</t>
  </si>
  <si>
    <t>Ki ni yoo ṣẹlẹ si awọn ẹjọ to wa ni kootu lori ọrọ Wike ati Fubara yii?</t>
  </si>
  <si>
    <t>Ati ijọba alabojuto ti Vice Admiral Ibok-Ete Ekwe Ibas n ṣe lọwọ?</t>
  </si>
  <si>
    <t>Tinubu sọ pé Nàìjíríà ti la àwọn ìgbà tó le kọjá àti pé àsìkò láti máa jẹ àwọn ọrọ̀ ìyà tí a ti jẹ sẹ́yìn ti dé báyìí.</t>
  </si>
  <si>
    <t>Nígbà tó ń sọ̀rọ̀ lórí àwọn nǹkan tí ìṣèjọba ti gbéṣe lẹ́nu ìgbà tó ti wà nípò gẹ́gẹ́ bí ààrẹ Nàìjíríà.</t>
  </si>
  <si>
    <t>Ó ní gbogbo ọmọ Nàìjíríà ló nílò láti fọwọ́sowọ́pọ̀ láti ri pé gbogbo àwọn àṣeyọrí so èso rere àti pé ìjọba àpapọ̀ yóò máa tẹ̀síwájú láti ri pé ètò ọrọ̀ ajé Nàìjíríà dúró ire.</t>
  </si>
  <si>
    <t>Tinubu ní lóòótọ́ ni àwọn kan máa ń wòye pé ibìkan ló yẹ kí Nàìjíríà wà gẹ́gẹ́ bí orílẹ̀ èdè àmọ́ ààrẹ ní ibi tí Nàìjíríà wà lórí ọrọ̀ ajé nígbà tó gba òmìnira kọ́ ló wà báyìí.</t>
  </si>
  <si>
    <t>Ó sọ pé lábẹ́ ìṣèjọba òun, ọ̀wọ́n gógó oúnjẹ ni àdínkù ti bá pẹ̀lú ìdá ogún nínú oṣù Kẹjọ ọdún yìí èyí tó kéré jùlọ láàárín ọdún mẹ́ta tí òun ti gba ìjọba.</t>
  </si>
  <si>
    <t>Ó fi kun pé àwọn ń ṣiṣẹ́ láti ri pé ìgbéga bá ètò ọ̀gbìn lójúnà àti mú kí oúnjẹ pọ̀ yanturu àti láti mú àdínkù bá owó oúnjẹ.</t>
  </si>
  <si>
    <t>Ó tẹ̀síwájú pé àlékún ti ń bá bí wọ́n ṣe ń pawó wọlé láì gbé ara lé owó epo rọ̀bì èyí tó wọ ogún tírílíọ̀nù náírà ní ọdún 2025 nìkan.</t>
  </si>
  <si>
    <t>Bákan náà ló fi kun pé owó tí àwọn ń pa wọlé lòdì sí èyí tí wọ́n fi ń san gbèsè ni àdínkù ti bá jọjọ.</t>
  </si>
  <si>
    <t>Ààrẹ ní Nàìjíríà ti ń kó ọjà lọ sí ilẹ̀ òkèèrè púpọ̀ báyìí yàtọ̀ sí epo rọ̀bì nìkan dípò bó ṣe jẹ́ pé Nàìjíríà ló máa ń gbé ara lé ọjà tí wọ́n ń kó wọlé láti ilẹ̀ òkèèrè bó ṣe rí tẹ́lẹ̀.</t>
  </si>
  <si>
    <t>Tinubu wòye pé ìgbéga ti bá ètò ẹ̀kọ́ Nàìjíríà yàtọ̀ sí bí ó ṣe wà ní ọdún 1960 tí Nàìjíríà gba òmìnira.</t>
  </si>
  <si>
    <t>Ó ní ọgọ́fà (120) ilé ẹ̀kọ́ girama ló wà ní Nàìjíríà lọ́dún 1960 ṣùgbọ́n tí àwọn ilé ẹ̀kọ́ girama tó wà ní Nàìjíríà báyìí ti lé ní 23,000 ní ọdún 2024.</t>
  </si>
  <si>
    <t>Ó fi kun pé lẹ́yìn ilé ẹ̀kọ́ gíga fásitì Ibadan àti Yaba College of Technology tó wà ní Nàìjíríà nígbà tí òmìnira, tí ilé ẹ̀kọ́ gíga fásitì ti di 274, ilé ẹ̀kọ́ gbogbonìṣe ti di 183, tí àwọn ilé ẹ̀kọ́ olùkọ́ni sì ti di 236 ní ìparí ọdún 2024.</t>
  </si>
  <si>
    <t>Ààrẹ ní àwọn ń tẹ̀síwájú láti máa ṣiṣẹ́ pẹ̀lú àwọn ẹ̀sọ́ ààbò láti ri dajú pé ètò ààbò tó dájú wà ní Nàìjíríà àti láti ri pé ètò ọrọ̀ ajé rí ìrúgọ́gọ́ si.</t>
  </si>
  <si>
    <t>Ó sọ pé àwọn ẹ̀ṣọ́ ààbò ń ṣiṣẹ́ takuntakun láti ri pé ààbò tó dájú wà fún gbogbo ọmọ Nàìjíríà.</t>
  </si>
  <si>
    <t>Ó ní wọ́n ń ṣẹ́gun tako àwọn agbéṣùmọ̀mí àtàwọn agbébọn tí wọ́n ń ṣọṣẹ́ káàkiri Nàìjíríà pàápàá àwọn Boko Haram ní ìlà oòrùn àríwá, IPOB àti ESN ní ìlà oòrùn gúúsù.</t>
  </si>
  <si>
    <t>Ó fi kun pé ọ̀pọ̀ ló ti ń padà sílé wọn látàrí bí àlááfíà ṣe ti padà sí ọ̀pọ̀ agbègbè táwọn agbéṣùmsmí ń dà láàmú.</t>
  </si>
  <si>
    <t>Nígbà tó ń sọ̀rọ̀ nípa àwọn ọ̀dọ́, ààrẹ ní àwọn ọ̀dọ́ ni ọjọ́ ọ̀la Nàìjíríà, tí wọ́n sì gbọdọ̀ máa tẹ̀síwájú láti máa ṣe àkánṣe lẹ́ka sáyẹ́ǹsì, ìmọ̀ ẹ̀rọ, eré ìdárayá lójúnà àti mú ìdàgbàsókè bá Nàìjíríà.</t>
  </si>
  <si>
    <t>Ó fi kun pé àwọn ṣe àgbékalẹ̀ NELFUND lát ṣe àtìlẹyìn fún àwọn ọ̀dọ́ lẹ́nu ẹ̀kọ́ wọn èyí tí àwọn akẹ́kọ̀ọ́ tó lé ní 510,000 káàkiri gbogbo Nàìjíríà ti jẹ àǹfàní rẹ̀.</t>
  </si>
  <si>
    <t>Ààrẹ ní ilé ẹ̀kọ́ gíga tó lé ní 228 ni wọ́n ti jẹ àǹfààní ètò ẹ̀yáwó tó tó N99.5bn láàárín ọdún kan ti wọ́n ṣe àgbékalẹ̀ rẹ̀.</t>
  </si>
  <si>
    <t>Bákan náà ló fi kun pé àwọn ọmọ Nàìjíríà tí iye wọn jẹ́ 153,000 ni wọ́n ti jẹ àǹfààní ẹ̀yáwó ọgbọ̀n bílíọ̀nù náírà láti fi ra ọkọ̀, àwọn ohun èlò ilé àti bẹ́ẹ̀ bẹ́ẹ̀ lọ.</t>
  </si>
  <si>
    <t>Ṣugbọn bii ẹni to n fi ọdun yin ọdun ni ọrọ orilẹede naa n ri, pẹlu bi nnkan ko ṣe fararọ bi a ba fi we bo ṣe wa lasiko ti oyinbo n dari Naijiria.</t>
  </si>
  <si>
    <t>Ọpọ eeyan ni ọrọ iu yii ti su, to bẹẹ ti wọn ti gba oko ibo mi-in lọ, wọn japa lọ silẹ okeere.</t>
  </si>
  <si>
    <t>Awọn ti ko japa paapaa ko duro nilẹ yii nitori ifẹ Naijiria, pupọ wọn lo jẹ pe bi wọn ba rọna lọ, wọn ko ni ro o lẹẹmeji ti wọn yoo fi sa lọ.</t>
  </si>
  <si>
    <t>Bẹẹ, o ni ohun to ṣẹlẹ ti Naijiria fi di nnkan mi-in lẹyin ominira rẹ.</t>
  </si>
  <si>
    <t>Ijinigbe tun jẹ iṣoro miran ti ko gbẹyin ninu idaamu Naijiria.</t>
  </si>
  <si>
    <t>Ebi buruku tun pọ nilẹẹ wa pẹlu, ko sowo, ko siṣẹ, ko sina, ko somi, ko si oju ọna to ṣee rin, bẹẹ ni ko si ifọkanbalẹ to le mu ẹmi pẹ laye.</t>
  </si>
  <si>
    <t>Paripari rẹ ni ti owo Naira to jẹ ọba owo lagbaaye tẹlẹ, to ti wa di ohun to yẹpẹrẹ ninu owo agbaye bayii, nigba ti Naijiria wa lominira.</t>
  </si>
  <si>
    <t>"Ṣugbọn ti a ba ni ka wo bi owo Naira ṣe ti bajẹ to bayii, to si jinna si awọn owo ilẹ okeere to ku, ẹ o ri i pe o buru pupọ, ko si ri bẹẹ nigba kan.</t>
  </si>
  <si>
    <t>"Lasiko kan ni Naijiria yii, owo Naira lagbara ju dọla lọ.</t>
  </si>
  <si>
    <t>Lonii, Naira ti takiti, o si n pe fun igbedide.</t>
  </si>
  <si>
    <t>"Ọpọ eeyan ni ko waa mọ pe iru ofin ti wọn ba n ṣe niluu kan, ati iru oṣelu ti wọn n danwo nibẹ, maa n ni ipa lara owo ati ọrọ aje wọn.</t>
  </si>
  <si>
    <t>Orilẹede kan le pinnu lati jẹ ki iye ti wọn yoo maa ṣẹ owo rẹ si ti ilẹ okeere kere si awọn owo yooku lagbaaye, wọn le ṣe bẹẹ nitori oṣelu ati ki nnkan le daa fun wọn lẹka ọrọ aje.</t>
  </si>
  <si>
    <t>Awọn orilẹede bii Japan ati China, mọ-ọn-mọ jẹ ki owo wọn ma niye lori ju bẹẹ lọ, ki owo ti wọn yoo maa san lori ọja ti wọn ba n ko jade maa baa wọ́n, ko si le rọ wọn lọrun.</t>
  </si>
  <si>
    <t>Ohun ti wọn n ṣe ni wọn n ra ti wọn si n lo, ọrọ aje wọn si n dagba nitori owo wọn to n gbe orilẹede wọn.</t>
  </si>
  <si>
    <t>"Ki i ṣe nnkan yẹpẹrẹ ni wọn n ṣe o, gbogbo ọja ati nnkan eelo tawọn ilu miran wa n ko lati ọdọ wọn ni wọn n ṣe funra wọn.</t>
  </si>
  <si>
    <t>"Bi wọn ṣe n lo o funra wọn ni wọn n ta a si oke okun kiri.</t>
  </si>
  <si>
    <t>"Ṣugbọn Naijiria ni tiẹ ki i ṣe orilẹede to n ta ohun ti a ba ṣe funra wa si orilẹede miran.</t>
  </si>
  <si>
    <t>"Awọn nnkan eelo (Raw material) ti wọn le fi ṣe ohun ti awọn orilẹede miran nilo ni awa fi n ranṣẹ soke okun.</t>
  </si>
  <si>
    <t>"Itumọ eyi ni pe bi a ba n ko iru nnkan wọnyi jade lọ silẹ okeere, owo nla-nla la o maa fi ra awọn ohun ti wọn fi tiwa ṣe pada, yoo si maa pa ọrọ aje wa lara.</t>
  </si>
  <si>
    <t>"Si iyalẹnu ṣaa lẹnu ọjọ mẹta yii, ijọba wa n gbe awọn onka apanilẹrin kan jade.</t>
  </si>
  <si>
    <t>"Wọn n sọ pe iye Naira to le ra dọla kan ti n dinku, o ti n wọ bii 1,400 naira si dọla kan, ati pe owo ilẹ okeere ti Naijiria ni nipamọ (Foreign reserve) ti gunke daadaa, wọn lo ti wọ 42 biliọnu owo dọla.</t>
  </si>
  <si>
    <t>"Eyi pani lẹrin gan-an nitori onka nla ti wọn n kede yii ko han lara ọrọ aje Naijiria, bẹẹ ni ko han lara araalu paapaa.</t>
  </si>
  <si>
    <t>"Ṣugbọn kaka bẹẹ, niṣe ni gbogbo nnkan n wọ́n gogo si i.</t>
  </si>
  <si>
    <t>Eyi fi ye wa pe nnkan ko ri bo ṣe yẹ ko ri, o si han kedere pe awọn kan wa nibi kan ti wọn ko sọ ododo fun wa.</t>
  </si>
  <si>
    <t>Awọn onileeṣẹ n sọ pe awọn ko ta, ọja o ya, ọpọ ọja lo kun ile iko-ọja si awọn.</t>
  </si>
  <si>
    <t>Itumọ eyi ni pe agbara lati mu owo lọọ ra nnkan ti araalu nilo ko si fun wọn mọ, awọn eeyan ko le ra nnkan to tiẹ jẹ ko ṣee ma ni ninu ile mọ, ka ma tii sọ awọn nnkan to jẹ faaji lasan ni wọn.</t>
  </si>
  <si>
    <t>"Ẹ o ṣakiyesi pe awọn ọja oko kan dinwo, paapaa ni awọn ọja igberiko.</t>
  </si>
  <si>
    <t>"A le sọ pe owo awọn nnkan jijẹ kan to n wa lati oko n dinku diẹ si i ju ti tẹlẹ lọ.</t>
  </si>
  <si>
    <t>Ṣugbọn ṣe a le sọ pe aṣeyọri kan leyi bi?</t>
  </si>
  <si>
    <t>Bẹẹ ni, bẹẹ si tun kọ.</t>
  </si>
  <si>
    <t>"To ba jẹ pe ọna to yẹ kijọba gbe e gba ni wọn gbe adinku yii gba, a le sọ pe wọn ṣe daadaa.</t>
  </si>
  <si>
    <t>"Ṣugbọn ohun ti a ri ni pe ijọba n fi aaye gba kiko awọn nnkan jijẹ kan wọlu lati oke okun.</t>
  </si>
  <si>
    <t>"Idi keji ti awọn ire oko yii tun fi rọju diẹ lasiko yii ni pe asiko ikore la wa yii, ere oko n jade daadaa.</t>
  </si>
  <si>
    <t>" Awọn agbẹ ko ri ọgbọn kankan da si i ju ki wọn ta a sita naa lọ, bo ṣe n pọ naa ni owo rẹ yoo si ṣe maa ja walẹ.</t>
  </si>
  <si>
    <t>"Bi ijọba Naijiria ṣe n fi aaye gba kiko ọja wọle lati oke okun yii ko le ṣe anfaani fun awọn agbẹ ilẹ wa ati ọrọ aje Naijiria.</t>
  </si>
  <si>
    <t>Yoo wulẹ maa ko o ba a ni.</t>
  </si>
  <si>
    <t>"Awọn ilu ti a n ra nnkan oko lọwọ wọn yii n jẹ anfaani owo iranwọ (subsidy intervention) lori ọja tiwọn lorilẹede wọn, ko ri bẹẹ fun awa ti a n kowo lọ ra a lati ọhun wa sibi.</t>
  </si>
  <si>
    <t>"Awọn agbẹ Naijiria ko ri anfaani owo iranwọ, bawo la ṣe le fi wọn we ara wọn.</t>
  </si>
  <si>
    <t>"Iṣẹ pọ lọwọ ijọba Naijiria bi wọn ba fẹ ki ọrọ aje ilu yii ṣe daadaa pada bii tigba kan.</t>
  </si>
  <si>
    <t>"Awọn nnkan wọnyi ti a ti sọ kalẹ ti wọn ko bojuto lo n fa iṣoro fun owo ati ọrọ aje Naijiria, eyi ko si kan boya  a wa lominira tabi bẹẹ kọ.</t>
  </si>
  <si>
    <t>"Orilẹede to ba fẹẹ ni ọrọ aje to duro deede, to fẹ ki owo rẹ niyi ko si tẹ̀wọ̀n lọja agbaye, gbọdọ ri i daju pe oun n pese ohun ti oun nilo funra oun.</t>
  </si>
  <si>
    <t>"O gbọdọ ri i pe o fi owo nla ran ohun ti wọn nilo lati oke okun lọwọ.</t>
  </si>
  <si>
    <t>"Bakan naa ni awọn ẹka ti araalu ba ti nilo iranwọ, ki ijọba ma ṣe fi dun wọn.</t>
  </si>
  <si>
    <t>"Paripari ẹ ni pe ki wọn jẹ olootọ, ki wọn si fi akoyawo sin orilẹede wọn ati awọn eeyan ibẹ." Bẹẹ ni Bisi Iyaniwura wi.</t>
  </si>
  <si>
    <t>Mínísítà tẹ́lẹ̀ rí fétò ìròyìn àti ìlanilọ́yẹ̀, Ọ̀jọ̀gbọ́n Jerry Gana ti ní ààrẹ tẹ́lẹ̀ rí ní Nàìjíríà, Goodluck Jonathan máa gbégbá ìbò láti dupò ààrẹ lábẹ́ àsíá ẹgbẹ́ òṣèlú Peoples Democratic Party, PDP lọ́dún 2027.</t>
  </si>
  <si>
    <t>Nígbà tó ń bá àwọn akọ̀ròyìn sọ̀rọ̀ ní ìlú Minna, ìpínlẹ̀ Niger níbi àpérò ẹgbẹ́ òṣèlú PDP, Gana sọ pé ààrẹ méjì ló ti ṣe ìjọba ní Nàìjíríà lẹ́yìn Jonathan tí àwọn èèyàn sì ti ń pòùngbẹ ìpadàbọ̀ Jonathan.</t>
  </si>
  <si>
    <t>Ó ní Jonathan fi ipò ààrẹ Nàìjíríà sílẹ̀ lọ́dún 2015 nítorí ó ní ìgbàgbọ́ pé ẹ̀jẹ̀ ọmọ Nàìjíríà kankan kò tọ́ láti bá ètò ìdìbò lọ.</t>
  </si>
  <si>
    <t>"Àwọn ọmọ Nàìjíríà ti rí ìyàtọ̀, ìyàtọ̀ tó fojú hàn láàárín ìṣèjọba Jonathan àti àwọn méjì tó ti ṣe ìjọba lẹ́yìn rẹ̀, tí wọ́n sì ń sọ pé kó padà sórí ipò.</t>
  </si>
  <si>
    <t>Ó wòye pé èyí ló mú kí PDP ṣì jẹ́ ẹgbẹ́ tó gbajúmọ̀ jùlọ ní Nàìjíríà.</t>
  </si>
  <si>
    <t>Lórí ọ̀rọ̀ pé ẹgbẹ́ òṣèlú PDP ń ní àwọn ìdojúkọ kan lábẹ́nú, ó ní gbogbo ìfaǹfà tó ń wáyé nínú ẹgbẹ́ náà ni àwọn àgbààgbà ẹgbẹ́ ti yanjú, tó sì jẹ́ pé àwọn ti ń gbáradì fún iṣẹ́ tó wa níwájú wọn fún 2027.</t>
  </si>
  <si>
    <t>Bákan náà ló rọ àwọn èèyàn láti wà ní ojú lalákàn fi ń ṣọ́rí, kí wọ́n fi ìbò lé ìjọba tó wà lóde kúrò lórí ipò, kí wọ́n sì fi ìbò dá Jonathan padà gẹ́gẹ́ bí ààrẹ.</t>
  </si>
  <si>
    <t>Àjáàbalẹ̀ ìròyìn BBC News Yorùbá lórí WhatsApp rẹ Darapọ̀ mọ́ wa nibì End of podcast promotion Ẹ̀wẹ̀, iléeṣẹ́ ààrẹ ti wá fún Jerry Gana lésì lórí ọ̀rọ̀ bí wọ́n ṣe ní àwọn ọmọ Nàìjíríà kò ì tíì gbàgbé bí Jonathan ṣe ṣàjọba nígbà tó wà nípò ààrẹ.</t>
  </si>
  <si>
    <t>Àtẹ̀jáde kan tí agbẹnusọ Tinubu, Bayo Onanuga fi síta lọ́jọ́ Ajé sọ pé àwọn ẹgbẹ́ alátakò ti ń kó ara wọn jọ láti tako Tinubu níbi ètò ìdìbò ọdún 2027 bí ó tilẹ̀ jẹ́ pé Tinubu ń sa gbogbo ipá rẹ̀ láti mú ètò ọrọ̀ ajé padà sípò.</t>
  </si>
  <si>
    <t>Onanuga ní bí Ọ̀jọ̀gbọ́n Jerry Gana ṣe sọ pé Goodluck Jonathan máa díje dupò lọ́dún 2027 lẹ́yìn ọdún méjìlá tó ti fipò náà sílẹ̀.</t>
  </si>
  <si>
    <t>Ó ní ó pọn dandan kí wọ́n ṣèkìlọ̀ fún Jonathan láti yé jẹ́ kí àwọn èèyàn ti òun gbọ̀ngbọ̀n láti mú ìfẹ́ inú wọn wá sí ìmúṣẹ, tí wọ́n sì máa fi sílẹ̀ láàárín agbami gẹ́gẹ́ bí wọ́n ṣe ṣe lọ́dún 2015.</t>
  </si>
  <si>
    <t>Ó wòye pé Jonathan le díje dupò ààrẹ tó bá wù ún nítorí ẹ̀tọ́ rẹ̀ ni àti pé ààrẹ Bola Tinubu ṣetán láti gbà á tọwọ́ tẹsẹ̀ sí ìdíje náà.</t>
  </si>
  <si>
    <t>Ó fi kun pé Jonathan máa nílò láti gba ilé ẹjọ́ lọ nítorí àwọn adájọ́ ló máa sọ bóyá Jonathan, tí wọ́n ti búra wọlé fún ní ẹ̀ẹmèjì gẹ́gẹ́ bí ààrẹ ṣì ní ẹ̀tọ́ láti tún díje lábẹ́ òfin láti tún díje fún sáà kẹta.</t>
  </si>
  <si>
    <t>Onanuga tún sọ pé Jonathan yóò tún nílò láti ṣàlàyé fáwọn èèyàn ohun tuntun tó ní láti ṣe lẹ́yìn ọdún mẹ́fà tó lò lórí ipò láì sí ohun kankan láti fi ṣàfihàn fún-un.</t>
  </si>
  <si>
    <t>Ó ní lọ́dún 2010, owó tó lé ní $66bn ni Jonathan bá nínú àpò ìjọba tó jẹ́ ti owó ilẹ̀ òkèèrè àmọ́ kò ju $32bn tó kù nínú àpò náà nígbà tó máa fipò sílẹ̀ lọ́dún 2015.</t>
  </si>
  <si>
    <t>Nígbà tí ètò ìdìbò bá ti ń bọ̀ ni onírúurú awuyewuye máa ń wáyé pàápàá lórí ẹni tó le gbégbá ìbò.</t>
  </si>
  <si>
    <t>Lára awuyewuye tó máa ń wáyé ni bóyá ààrẹ àná ní Nàìjíríà, Goodluck Jonathan lẹ́tọ̀ọ́ láti díje dupò ààrẹ mọ́ lẹ́yìn òfin ètò ìdìbò ọdún 2022 tí ààrẹ Muhammadu Buhari gbé kalẹ̀.</t>
  </si>
  <si>
    <t>Lára ohun tí òfin náà sọ ni pé ẹnikẹ́ni tí wọ́n bá ti búra wọlé fún lẹ̀ẹmèjì fún ipò gómìnà tàbí ààrẹ yálà láti parí sáà ẹnìkan, kò lẹ́tọ̀ọ́ láti díje dupò náà mọ́.</t>
  </si>
  <si>
    <t>Òfin yìí ló máa ń rú àwọn èèyàn lójú nípa bóyá Jonathan tún le díje fún ààrẹ Nàìjíríà nítorí wọ́n ti burá wọlé fún un ní ẹ̀ẹmèjì.</t>
  </si>
  <si>
    <t>Àkọ́kọ́ ni láti parí sáà ààrẹ Umar Yar'adua tó jáde láyé lọ́dún 2009 àti lọ́dún 2011 nígbà tó wọlé ìbò ààrẹ.</t>
  </si>
  <si>
    <t>Onímọ̀ nípa òfin, Ademola Owolabi sọ fún BBC News Yorùbá pé ìwé òfin Nàìjíríà máa ń ṣiṣẹ́ síwájú ni, kìí bojú wẹ̀yìn.</t>
  </si>
  <si>
    <t>"Tí nǹkan bá ṣẹlẹ̀ ní àná, tí a ṣe òfin lónìí, òfin ta ṣe lónìí kò le mú nǹkan tó ṣẹlẹ̀ lánàá mọ́, tàná yẹn ti lọ nìyẹn." Owolabi sọ pé lásìkò tí Jonathan fi ṣe ààrẹ ní Nàìjíríà, kò ì tíì sí òfin pé ẹni tí wọ́n bá búra fún ní ẹ̀ẹmèjì kò ní le gbégbá ìbò mọ́.</t>
  </si>
  <si>
    <t>O ní òfin tó wà nílẹ̀ nígbà náà ni pé èèyàn kò lè ṣe ààrẹ ju sáà méjì lọ.</t>
  </si>
  <si>
    <t>Ó ní lẹ́yìn tí Jonathan kúrò lórí ipò ni wọ́n tó gbé òfin náà sílẹ̀, tí òfin náà kò sì lè mú Jonathan mọ́.</t>
  </si>
  <si>
    <t>"Tí a bá fi ojú ìwé wò ó, ó máa jọ pé Jonathan kò ní lè díje dupò ààrẹ mọ́ nítorí òfin sọ pé ẹni tó bá tí wọ́n bá ti búra wọlé fún ní ẹ̀ẹmèjì kò ní lè dupò ààrẹ ṣùgbọ́n òfin yẹ wáyé nígbà tí Jonathan ti kúrò lórí oyè.</t>
  </si>
  <si>
    <t>"Òfin wa kò le mú nǹkan tó ti ṣẹlẹ̀ sẹ́yìn mọ́, a kìí ṣe òfin fún àná tàbí ọ̀la.</t>
  </si>
  <si>
    <t>Aṣẹ NLC yii lo n waye lẹyin aigbọraẹniye to wa laarin Dangote ati PENGASSAN latari bi Dangote ṣe da oṣiṣẹ 800 duro lẹnu iṣẹ to si fi awọn ọmọ ilẹ India rọpo wọn.</t>
  </si>
  <si>
    <t>Ninu atẹjade kan ti Aarẹ NLC,  Joe Ajaero fi lede lọjọ Aje ni aṣẹ ọhun ti jẹyọ.</t>
  </si>
  <si>
    <t>PENGASSAN ati awọn to n ta epo ni Naijiria, NUPENG ni Dangote n dunkoko mọ awọn oṣiṣẹ rẹ, o n tẹ ẹtọ wọn loju mọlẹ bẹẹ lo si n fi iya ti ko tọ jẹ wọn.</t>
  </si>
  <si>
    <t>NLC ṣalaye pe ọrọ naa ti kuro ni ọrọ PENGASSAN ati NUPENG nikan, o ti di ọrọ ija fun ẹtọ awọn oṣiṣẹ kaakiri Naijiria bayii.</t>
  </si>
  <si>
    <t>O ni "Asiko lati maa bẹbẹ ati lati maa ṣe ijiroro ti ko so eso rere kankan ti kọja, asiko ti to bayii lati gbe igbesẹ akinkanju.</t>
  </si>
  <si>
    <t>"A fẹ ki gbogbo yin bẹrẹ imurasilẹ lati ṣe agbajọpọ gbogbo awọn oṣiṣẹ ileeṣẹ Dangote to wa labẹ iṣakoso yin ni kankan." Ajaero sọ pe eredi aṣẹ yii ko ju ọna lati ri daju pe Dangote bọwọ fun ẹtọ awọn oṣiṣẹ rẹ.</t>
  </si>
  <si>
    <t>O pari ọrọ rẹ pe awọn gbọdọ gbena woju ẹkun ileeṣẹ Dangote lai fi akoko ṣofo.</t>
  </si>
  <si>
    <t>Minisita fun ọrọ iṣẹ, Maigari Dingyadi, ti ke si PENGASSAN pe ki wọn da iyanṣelodi wọn to bẹrẹ lana duro.</t>
  </si>
  <si>
    <t>Amọ nigba to n sọrọ, ileeṣẹ Dagote bu ẹnu atẹ lu PENGASSAN pe awọn gan lo n fa ọwọ aago itẹswiaju epo rọbi Naijiria sẹyin.</t>
  </si>
  <si>
    <t>Dangote ni ara wọn atawọn adari wọn nikan ni PENGASSAN n sin, kii ṣe lati mu aye dẹrun faraalu.</t>
  </si>
  <si>
    <t>Àjáàbalẹ̀ ìròyìn BBC News Yorùbá lórí WhatsApp rẹ Darapọ̀ mọ́ wa nibì End of podcast promotion Wayi o, minisita Maigari Dingyadi ti n gbe igbesẹ lati mu ki alaafia jọba laarin Dangote ati ẹgbẹ PENGASSAN.</t>
  </si>
  <si>
    <t>Gegẹ bii ohun ti wọn sọ, ileeṣẹ to n ri si iṣẹ ati igbanisisẹ "n jiroro pẹlu Dangote atawọn adari PENGASSAN, ifẹrọwerọ wọn si ti fi han pe ko si ọna abayọ kankan ju alaafia lọ." Ẹwẹ, Dingyadi  ti parọwa si PENGASSAN pe ki wọn gba alaafia laaye ki wọn si fopin si iyanṣelodi wọn ati pe oun ti fi iwe pe awọn adari mejeji fun ipade kan ti yoo waye ninu ọọfisi oun lonii ọjọ Aje.</t>
  </si>
  <si>
    <t>O rọ PENGASSAN lati da iyanṣẹlodi wọn duro lati faye gba ipade alaafia.</t>
  </si>
  <si>
    <t>Ninu atẹjade kan ti agbẹnusọ ileeṣẹ naa, Patience Onuobia fi lede, o ni awọn mejeji ti aawọ wa laarin wọn yii lo ṣe pataki si ọrọ aje Naijiria, wọn si gbọdọ fopin si aawọ to n waye laarin wọn lọwọ yii.</t>
  </si>
  <si>
    <t>O  in "Yatọ si pe iyanṣẹlodi yoo mu ki wọn padanu owo gọbọi, yoo tun mu aye nira fun awọn ọmọ Naijiria." Wayi o, PENGASSAN ti sọ pe awọn ko ni fopin si iyanṣẹlodi ọhun ayafi ti Dangote ba da awọn oṣiṣẹ ti iye wọn to 800 pada sẹnu iṣẹ wọn lai fọta pe.</t>
  </si>
  <si>
    <t>Ẹgbẹ́ àwọn òṣìṣẹ́ tó ń rí sí ọ̀rọ̀ epo àti gáàsì ní Nàìjíríà, PENGASSAN tí kéde pé àwọn máa bẹ̀rẹ̀ ìyanṣẹ́lódì káàkiri Nàìjíríà bẹ̀rẹ̀ láti ọjọ́ Ajé, ọjọ́ Kọkàndínlọ́gbọ̀n, oṣù Kẹsàn-án.</t>
  </si>
  <si>
    <t>Àtẹ̀jáde kan tí akọ̀wé ẹgbẹ́ náà, Lumumba Okugbawa fi léde lọ́jọ́ Àbámẹ́ta darí gbogbo àwọn ọmọ ẹgbẹ́ wọn láti bẹ̀rẹ̀ ìyanṣẹ́lódì fún wákàtí mẹ́fà ní ọjọ́ Àìkú, kí wọ́n sì bẹ̀rẹ̀ àdúrà ọlọ́jọ́ kan.</t>
  </si>
  <si>
    <t>Àtẹ̀jáde náà ní ìyanṣẹ́lódì náà yóò kan gbogbo àwọn òṣìṣẹ́ tó wà ní yàrá ètò àtàwọn òṣìṣẹ́ tó ń ṣiṣẹ́ ní ìgbooro.</t>
  </si>
  <si>
    <t>PENGASSAN darí gbogbo àwọn ọmọ ẹgbẹ́ wọn tó wà ní iléeṣẹ́, àjọ àti ẹ̀ka ìjọba láti bẹ̀rẹ̀ ìyanṣẹ́lódì bẹ̀rẹ̀ láti òru ọjọ́ Ajé.</t>
  </si>
  <si>
    <t>Ẹgbẹ́ PENGASSAN nínú àtẹ̀jáde náà sọ pé ìdí tí àwọn fi fẹ́ gùnlé ìyanṣẹ́lódì náà kò ṣẹ̀yìn bí iléeṣẹ́ ìfọpo Dangote Refinery ṣe fọwọ́ òsì júwe ilé fáwọn òṣìṣẹ́ tó lé ní ẹgbẹ̀rin (800) nítorí pé wọ́n darapọ̀ mọ́ PENGASSAN.</t>
  </si>
  <si>
    <t>Wọ́n júwe ìwà iléeṣẹ́ Dangote náà bí ìwà títàpá sí ẹ̀tọ́ àwọn òṣìṣẹ́ Nàìjíríà, títẹ ìwé òfin Nàìjíríà lójú mọ́lẹ̀, àìbọ̀wọ̀ fún òfin tó de òṣìṣẹ́ àti títàpá sí àpérò ILO.</t>
  </si>
  <si>
    <t>Wọ́n ní Dangote gba iṣẹ́ lọ́wọ́ àwọn òṣìṣẹ́ náà nítorí wọ́n darapọ̀ mọ́ ẹgbẹ́ tí wọ́n sì gbé iṣẹ́ wọn fáwọn ará ilẹ̀ India.</t>
  </si>
  <si>
    <t>Àtẹ̀jáde tí PENGASSAN ti kọ́kọ́ fi léde ní ọjọ́ Ẹtì, ọjọ́ Kẹrìndínlọ́gbọ̀n, oṣù Kẹsàn-án ni wọ́n ti kọ́kọ́ darí àwọn alága ẹgbẹ́ wọn káàkiri láti rip é wọ́n gbégi dínà pípèsè gáàsì sí iléeṣẹ́ ìfọpo Dangote.</t>
  </si>
  <si>
    <t>"Gbogbo epo rọ̀bì tó ń lọ sí iléeṣẹ́ ìfọpo Dangote ni ó gbọdọ̀ dúró.</t>
  </si>
  <si>
    <t>Gbígbé epo tó ń lọ sí iléeṣẹ́ náà ni ó gbọdọ̀ dúró lẹ́sẹ̀kẹsẹ̀," àtẹ̀jáde náà sọ.</t>
  </si>
  <si>
    <t>Nínú àtẹ̀jáde tí wọ́n fi síta lọ́jọ́ Àbámẹ́ta ni wọ́n ti sọ pé gbogbo ìgbésẹ̀ tó nííṣe pẹ̀lú gáàsì àti ìpèsè epo rọ̀bì lọ sí ilé ìfọpo Dangote ni ó máa dúró lójú ẹsẹ̀.</t>
  </si>
  <si>
    <t>Wọ́n ní ohun tí àwọn máa dojú àdúrà kọ ni pé àwọn máa képe Ọlọ́hun láti kó sí àwọn tó le bá Dangote sọ̀rọ̀ nínú láti sọ fun pé ìdí tó ṣe nílò láti bọ̀wọ̀ fún òfin.</t>
  </si>
  <si>
    <t>Iléeṣẹ́ ìfọpo Dangote lọ́jọ́ Àbámẹ́ta, ọjọ́ Kẹtàdínlọ́gbọ̀n júwe ìdarí PENGASSAN náà bí èyí tó jẹ́ ìjayà, tó sì jẹ́ títàpá sí òfin àti ìwà ọ̀daràn.</t>
  </si>
  <si>
    <t>Dangote ní kò sí òfin kankan ní Nàìjíríà tó fi ààyè gba PENGASSAN láti dènà gbígbé gáàsì àti epo rọ̀bì wọ iléeṣẹ́ ìfọpo àwọn.</t>
  </si>
  <si>
    <t>Wọ́n ní ìwà ọ̀daràn ni fún PENGASSAN tàbí ọmọ ẹgbẹ́ rẹ̀ kankan láti dènà tàbí gbégi dìnà ìbáṣepọ̀ Dangote àti àwọn iléeṣẹ́ tó ń bá ra ọjà fún ìpèsè gáàsì àti epo rọ̀bì sí ilé ìfọpo náà.</t>
  </si>
  <si>
    <t>Ilu kan ti a mọ si Oke -Ode, nijọba ibilẹ Ifelodun ni iroyin sọ pe awọn agbebọn kọlu laaarọ ọjọ Aiku naa, ti wọn si pa eeyan mẹwaa ti wọn jẹ fijilante.</t>
  </si>
  <si>
    <t>Bakan naa ni iroyin kan sọ pe mẹẹdogun ni awọn fijilante to pade iku ojiji naa, awọn kan si farapa yanna-yanna.</t>
  </si>
  <si>
    <t>O ṣoju mi koro kan ti ko darukọ ara rẹ, ṣalaye pe niṣe ni awọn agbebọn naa ṣina ibọn bolẹ, ti wọn si n pa awọn eeyan lọ.</t>
  </si>
  <si>
    <t>O ni awọn fijilante to doloogbe naa gbiyanju pupọ lati koju awọn agbebọn ọhun, ṣugbọn ipa wọn ko ka awọn to kọlu wọn naa.</t>
  </si>
  <si>
    <t>Ọkan lara ọmọ ẹgbẹ fijilante naa to pe orukọ rẹ ni Ajetunmobi, ṣalaye ninu ifọrọwanilẹnuwo kan, pe lati alẹ Satide ni awọn ti n gbọ pe awọn agbebọn wa lagbegbe awọn.</t>
  </si>
  <si>
    <t>O ni awọn ranṣẹ si awọn ikọ yoku lati dira ogun silẹ ko too ṣẹlẹ.</t>
  </si>
  <si>
    <t>Lara awọn to ni wọn ba iṣẹlẹ naa lọ ni : Oji, Saheed Metubi, Baale Ogba Ayo ati bẹẹ bẹẹ lọ.</t>
  </si>
  <si>
    <t>Tesan ọlọpaa ni Ajetunmobi sọ pe wọn kọkọ gbe awọn oku naa lọ, wọn si gbe awọn to farapa lọ si ile iwosan ijọba apapọ niluu Saare Àjáàbalẹ̀ ìròyìn BBC News Yorùbá lórí WhatsApp rẹ Darapọ̀ mọ́ wa nibì End of podcast promotion Nigba to n kẹdun iṣẹlẹ yii, Gomina ipinlẹ Kwara, Abdulrahman Abdulrazaq rọ awọn araalu lati ma ṣe da oju ija kọ ara wọn.</t>
  </si>
  <si>
    <t>Gẹgẹ bi Gomina Kwara naa ṣe wi ninu atẹjade ti Akọwe iroyin rẹ, Rafiu Ajakaye fi sita lọjọ Aiku naa: "Mo ba awọn ẹbi ti iṣẹlẹ yii ṣẹlẹ si kẹdun lati inu ọkan mi.</t>
  </si>
  <si>
    <t>Ko si alaye ti mo le ṣe to le tu ọkan awọn eeyan to gbọgbẹ naa lara.</t>
  </si>
  <si>
    <t>"Pẹlu gbogbo bi a ṣe n sapa to, ti a n nawo to lati ro awọn ọlọdẹ to n ṣo igbo wa lagbara, awọn eeyan wa naa si n gbiyanju lori ọrọ yii.</t>
  </si>
  <si>
    <t>" A mọ riri awọn ikọ alaabo ati igbiyanju wọn, ṣugbọn o di dandan lati fi kun ipa wa.</t>
  </si>
  <si>
    <t>" Lakootan, mo rọ awọn akikanju araalu Oke-Ode lati ma ṣe ko aarẹ ọkan,  ki wọn si ma ṣe kọju ija sira wọn.</t>
  </si>
  <si>
    <t>"Bẹẹ ni mo ki awọn fijilante ti wọn padanu eeyan marun-un ninu ikọ wọn, ti wọn si tun ṣe awọn alatako naa leṣe, titi laye la o maa dupẹ lọwọ gbogbo wọn gẹgẹ bii akọni wa." Gomina Abdulrazak pe fun afikun ọmọ ogun ni Kwara lati koju iṣoro aabo naa.</t>
  </si>
  <si>
    <t>Lori ipe naa si ni olu ileeṣẹ ologun ilẹ wa ṣe paṣẹ, pe ki ọga ologun to wa n'Ibadan, ẹkun keji (2 Division), dari awọn ọmọ ogun rẹ lọ si Kwara lati kun wọn lọwọ.</t>
  </si>
  <si>
    <t>Ẹ o ranti pe lọsẹ to kọja yii ni awon agbebọn kan naa ya wọ ilu Motokun ni ijọba ibilẹ Patigi, ipinlẹ Kwara.</t>
  </si>
  <si>
    <t>Wọn pa obinrin alaboyun kan, awọn marun-un mii farapa yana-yana, wọn si tun gbe eeyan mejidinlogun lọ.</t>
  </si>
  <si>
    <t>Atẹjade ti SP Adetoun Ejire-Adeyemi, Alukoro ọlọpaa ipinlẹ Kwara, fi sita lọjọ naa, ṣalaye pe awọn agbebọn ya wọ agbegbe Ogbayo, l'Oke-Ode, nijọba ibilẹ Ifelodun, ipinlẹ Kwara.</t>
  </si>
  <si>
    <t>O ni wọn bẹrẹ si i yinbọn lakọlakọ, apapọ ọlọpaa ati awọn ikọ aṣọgbo (National Forest Security Service) si dide lati koju wọn.</t>
  </si>
  <si>
    <t>Adetoun sọ pe nibẹ ni awọn ti ri oku fijilante mejila, titi to fi mọ ti Baale of Ogbayo.</t>
  </si>
  <si>
    <t>"Awọn to ku fara gba ọta ibọn, eeyan mẹrin to farapa ni a sare gbe lọ si ileewosan fun itọju, nigba ti a gbe awọn oku kuro.</t>
  </si>
  <si>
    <t>"Ileeṣẹ ọlọpaa ipinlẹ Kwara ati awọn ologun ati awọn NFSS ti fi kun ipa wọn lati mu awọn to wa nidii iṣẹlẹ yii.</t>
  </si>
  <si>
    <t>"A n wa wọn lọwọ, ileeṣẹ ọlọpaa Kwara si fi da awọn eeyan agbegbe naa loju pe a maa mu awọn to lọwọ ninu ikọlu naa." O fi kun un pe Kọmiṣanna ọlọpaa Kwara, Adekimi Ojo, ba ẹbi awọn eeyan to padanu ẹmi wọn kẹdun gidi, ati pe ileeṣẹ ọlọpaa Kwara yoo maa tẹsiwaju ninu ipese aabo fun awọn eeyan ibẹ.</t>
  </si>
  <si>
    <t>Àmọ́ báwo ni àwọn orílẹ̀ èdè Afric ṣe ń rí Palestine?</t>
  </si>
  <si>
    <t>Ọ̀pọ̀ orílẹ̀ èdè ní ẹkùn Africa ni ó rí Palestine ní orílẹ̀ èdè lọ́dún 1980 lẹ́yìn tí olórí orílẹ̀ náà Yasser Arafat kéde òmìnira ní Algiers.</t>
  </si>
  <si>
    <t>Kódà àwọn olórí orílẹ̀ èdè kan ní Africa bíi Thomas Sankara àti Nelson Mandela ṣe àfiwé ìjà òmìnira Palestine sí ti ilẹ̀ Africa.</t>
  </si>
  <si>
    <t>Àmọ́ àwọn orílẹ̀ èdè méjì kan – Cameroon àti Eritrea – dá yàtọ̀.</t>
  </si>
  <si>
    <t>Àjáàbalẹ̀ ìròyìn BBC News Yorùbá lórí WhatsApp rẹ Darapọ̀ mọ́ wa nibì End of podcast promotion David Otto, Adarí ẹ̀ka ààbò ní Geneva Centre for African Security and Strategic Studies sọ pé Israel rí Cameroon bíi ọ̀kan lára àwọn orílẹ̀ èdè tó ní àjọṣepọ̀ tó lòòrìn pẹ̀lú ní Africa.</t>
  </si>
  <si>
    <t>"Cameroon kò lè ṣe ohunkóhun láti bá àjọṣepọ̀ tó ni pẹ̀lú Israel jẹ́," Otto sọ.</t>
  </si>
  <si>
    <t>Ó ní àjọṣepọ̀ to wà láàárín àwọn orílẹ̀ èdè jẹ́ èyí tó níiṣe pẹ̀lú ètò ààbò.</t>
  </si>
  <si>
    <t>"Israel ti ṣe ọ̀pọ̀lọpọ̀, tó sì tún ń tẹ̀síwájú láti máa dá ààbò bo ìṣèjọba Cameroon." Israel máa ń ṣe ìdánilẹ́kọ̀ọ́ fáwọn ẹ̀ṣọ́ iléeṣẹ́ ológun àtàwọn ẹ̀ka kan èyí tó máa ń rí sí ààbò ààrẹ Cameroon.</t>
  </si>
  <si>
    <t>"Ìbáṣepọ̀ tí Cameroon ti ní pẹ̀lú Israel ti ṣe atọ́nà fún Cameroon láti ní ìbáṣepọ̀ àti àtìlẹyìn orílẹ̀ èdè Amẹ́ríkà èyí tó jẹ́ ọ̀rẹ́ pẹ̀lú Israel." Ipò Cameroon lórí Palestine tún le jẹ́ lára ìrírí èyí tí orílẹ̀ èdè náà ní pẹ̀lú ẹkùn tí wọ́n ti ń sọ èdè Gẹ̀ẹ́sì ní orílẹ̀ èdè náà.</t>
  </si>
  <si>
    <t>"Gbígba Palsetine gẹ́gẹ́ bí orílẹ̀ èdè le mú kí àwọn èèyàn ní Cameroon pè fún pé kí àwọn náà fi ààyè gba àwọn tó fẹ́ yapa kúrò ní orílẹ̀ èdè náà.</t>
  </si>
  <si>
    <t>Ìjọba Cameroon sì ti máa ń sọ pé ọ̀kan ni orílẹ̀ èdè Cameroon, tí kò sì sí ààyè fún ìpínyà rárá," Otto sọ.</t>
  </si>
  <si>
    <t>Níṣe ni Cameroon kìí sọ ohunkóhun lórí ọ̀rọ̀ Palestine.</t>
  </si>
  <si>
    <t>Eritrea ní tirẹ̀ ní ìtàn tó yàtọ̀ sí ti Cameroon pátápátá.</t>
  </si>
  <si>
    <t>Ọ̀kan lára wọn ni Ethiopia.</t>
  </si>
  <si>
    <t>"Ethiopia ní Addis Ababa ni oríkò àjọ ilẹ̀ Africa nígbà náà," gẹ́gẹ́ bí onímọ̀ nípa òṣèlú Abdurahman Sayed ṣe sọ.</t>
  </si>
  <si>
    <t>"Ìjọba ológun tó wà ní Ethiopia nígbà náà jẹ́ èyí tó faramọ́ Soviet, tó sì ń ṣe àtìlẹyìn fún ẹ̀tọ́ àti ìjà tí Palestine ń jà." Àmọ́ Eritrea nígbà náà ń jà fún òmìnira tirẹ̀ kúrò lọ́wọ́ Ethiopia.</t>
  </si>
  <si>
    <t>"Ohun tó fojú hà nígbà náà ni pé Ethiopia ń jẹ gàba lé Ethiopia tí àwọn Eritrea sì ń bá Ethiopia jagun.</t>
  </si>
  <si>
    <t>"Kí Palestine tó lè ní ìbáṣepọ̀ pẹ̀lú Ethiopia, wọ́n nílò láti sún fún Eritrea, tó sì jk ohun tí Yasser Arafat ṣe èyí tí kò dùn mọ́ àwọn Eritrea nínú rárá tó fi mọ́ ààrẹ tó wà lórí ipò báyìí.</t>
  </si>
  <si>
    <t>Síbẹ̀, Ààrẹ Eritrea, Isaias Afwerki ti fi ojú àánú hàn sí ìjà Palestine bó ṣe dìbò fún-un níbi ètò àjọ ìṣọ̀kan àgbáyé kan lọ́dún 2012.</t>
  </si>
  <si>
    <t>Àmọ́, ó tún da ìpè fún àlááfíà ti Oslo ọdún 1993 npu bí ó ṣe júwe ìfẹnukò náà bí èyí tí kò dára tó máa fún Palestine ní agbára láti máa ṣe àkóso lára ẹkùn West Bank àti Gaza gẹ́gẹ́ bí atọ́nà sí ṣíṣe àkóso ìjọba ara rẹ̀.</t>
  </si>
  <si>
    <t>Ààrẹ Afwerki ní òun kò faramọ́ ìjọba olójú méjì.</t>
  </si>
  <si>
    <t>Ṣùgbọ́ ó ṣeéṣe kó rí àwọn ìfàsẹ́yìn kan láti orílẹ̀ èdè rẹ̀ nítorí ìdá 55% àwọn èèyàn rẹ̀ ló jẹ́ Mùsùlùmí.</t>
  </si>
  <si>
    <t>"Eritrea wáyé látara bí ó ṣe jà fúnra rẹ̀.</t>
  </si>
  <si>
    <t>Fún ẹni tó ṣáájú ogun láti jà fún òmìnira rẹ̀ láti má ṣe àtìlẹyìn fún òmìnira àwọn míì rí bákan," Sayed sọ.</t>
  </si>
  <si>
    <t>BBC kàn sí àwọn ìjọba méjéèjì láti sọ ti wọn àmọ́ wọn kò dáhùn.</t>
  </si>
  <si>
    <t>Adediran, to jẹ ẹni ọdun mẹrindinlọgọta ni wọn fẹsun ṣiṣe jibiti ati ike wiwọ niluu Illinois lọdun 2021 kan.</t>
  </si>
  <si>
    <t>Ninu atẹjade kan ti ajọ naa fi lede, wọn ni "FBI yoo fun ẹnikẹni to ba le ṣamọna bi ọwọ wa yoo ṣe tẹ Olumide Adebiyi Adeiran ni $10,000." Wọn ni afurasi naa gbiyanju lati gba owo lawọn banki pẹlu iwe sọwedowo ẹlomiran to ji, bẹẹ lo tun gbiyanju lati lo orukọ ati oju awọn ẹlomiran lati ṣi apo lawọn oniruru ile ifowopamọ.</t>
  </si>
  <si>
    <t>O sa kuro ni aringbungbun Illinois ninu oṣu Kejila ọdun 2001 ki igbẹjọ ẹsun iwa ọdaran ti wọn fi kan an to bẹrẹ.</t>
  </si>
  <si>
    <t>Wọn juwo rẹ gẹgẹ bii ọkunrin to ga ni iwọn 5'11" to tun jẹ ẹni ti iwọn rẹ jẹ nnkan bii igba kilo, ti irun ori rẹ dudu ti awọ ẹyin oju rẹ si jẹ 'brown.' Yatọ si orukọ abisọ rẹ to jẹ Olumide, o tun maa n pe ara rẹ lawọn orukọ miran lawujo.</t>
  </si>
  <si>
    <t>Lara awọn orukọ to maa n pe ara rẹ ni "Kevin Olumide Adediran, Eric O.</t>
  </si>
  <si>
    <t>Williams, Maxo Alexandre, Olumide Adkins, ati Edward N.</t>
  </si>
  <si>
    <t>Anderson." FBI ti wa ke si ẹnikẹni to ba mọ ibi to wa tabi iroyin nipa bi ọwọ ṣe le tẹ ẹ ki wọn kan si ọọfisi ijọba ilẹ Amẹrika to ba sunmọ wọn julọ.</t>
  </si>
  <si>
    <t>Ninu ifọrọwerọ kan to waye ninu ile rẹ niluu Ibadan lo ti ṣalaye iran rẹ fun ilu Ibadan papapọ.</t>
  </si>
  <si>
    <t>O ni ki araalu maa reti ayipada ọtun lasiko oun dipo afẹfẹyẹyẹ.</t>
  </si>
  <si>
    <t>Gẹgẹ bo ṣe sọ, gbogbo asiko rẹ gẹgẹ bii oniṣowo ati oloṣelu ti mura rẹ silẹ fun ipo tuntun naa.</t>
  </si>
  <si>
    <t>O ni "Ilu Ibadan ni ogo iha iwọ oorun Naijiria laye atijọ mo si fẹ ki a pada si ipo ti a wa tẹlẹ.</t>
  </si>
  <si>
    <t>Gbogbo iyẹn ni igba ọtun yoo de ba." Ladoja sọ pe awọn minisiter tẹlẹ bii Frank Nweke Jnr ati Aarẹ WTO, Ngozi Okonjo-Iweala gbe ogo ilu wọn ga, ko si ohun to ni ki awọn ọmọ Ibadan naa ma gbe ogo ilẹ wọn ga.</t>
  </si>
  <si>
    <t>Gomina tẹlẹri naa juwe ara rẹ gẹgẹ bii ẹni to fẹran igbeaye irẹlẹ dipo igbeaye afẹfẹyẹyẹ.</t>
  </si>
  <si>
    <t>O ni "Ọpọ eeyan lo ro pe ipo faaji ati afẹfẹyẹyẹ ni ipo Ọba ṣugbọn ero aye atijọ niyẹn.</t>
  </si>
  <si>
    <t>"Lode oni, a gbọdọ ka aṣọ wa soke ki a si ṣiṣẹ sin araalu… ni temi, ki n jẹun to dara, ki n si gbe igbeaye rere wu mi ju wiwọ aṣọ nla lọ." Lẹyin naa lo fidi rẹ mulẹ pe Aarẹ Bola Tinubu, awọn gomina atawọn eeyan nlanla mii ni Naijiri ni yoo peju sibi ayẹyẹ iwuye oun yi yoo waye lonii.</t>
  </si>
  <si>
    <t>Alaga ajọ eleto idibo orilẹede ọhun, Annabel Mtalimanja kede pe Mutharika fidi Aarẹ to wa lori oye lọwọ, Lazarus Chakwera janlẹ.</t>
  </si>
  <si>
    <t>Ida 57% gbogbo ibo ti wọn di nibẹ ni Mutharik ko nigba ti Chakwera ni ida 33% ibo ọhun.</t>
  </si>
  <si>
    <t>Ṣaaju ipadabọ abija rẹ yii ni Mutharika to jẹ ẹni ọdun marundinlaadọrun ti kọkọ tukọ ijọba Malawi laarin ọdun 2014 si ọdun 2020 ki Chawekra to fidi rẹ janlẹ lọdun naa lọhun.</t>
  </si>
  <si>
    <t>Ni bayii ti Mutharika ti pada sori oye, yoo jogun ọrọ aje to dagẹgẹ, iṣoro aisi epo atawọn gbankọbgi iṣoro mii.</t>
  </si>
  <si>
    <t>Ninu ọrọ to sọ lẹyin eto idibo ọhun lo ti sọ pe oun gba pe Mutharika fidi oun janlẹ, lẹyin naa lo ki ku oriire.</t>
  </si>
  <si>
    <t>O ni "Ninu esi ibo to jade, o han gbangba pe alatako mi, Ọjọgbọn Mutharika lo n lewaju tente, mo si ti pe e lati ki ku oriire fun aṣeyọri yii." Lẹyin naa lo ke si awọn araalu atawọn alatilẹyin rẹ lati ma fa wahala kankan ki wọn si gba esi ibo naa wọle.</t>
  </si>
  <si>
    <t>Gẹgẹ bii ohun ti Washington University sọ, Aarẹ Malawi naa ni ibaṣepọ to dan mọran pẹlu awọn fun nnkan bii ọdun mẹrindinlaadọta ko to darapọ mọ ẹka imọ ofin lọdun 1976.</t>
  </si>
  <si>
    <t>Nigba ti wọn dibo yan ibatan rẹ, Bingu Wa Mutharika lọdun 2004, o ṣiṣẹ gẹgẹ bii olubadanmọran rẹ fun ọdun marun un.</t>
  </si>
  <si>
    <t>Lọdun 2008, wọn kede rẹ gẹgẹ bii olubadanmọran agba si Bingu Wa Mutharika lori ọrọ ofin ati ọrọ ilẹ okeere.</t>
  </si>
  <si>
    <t>Mutharika ni miniisita fun ọrọ ilẹ okere laarin ọdun 2011 si 2012.</t>
  </si>
  <si>
    <t>Nigba ti yoo di ọdun 2014 ni wọn dibo yan Mutharika sipo Aarẹ.</t>
  </si>
  <si>
    <t>O tẹle ipasẹ ẹgbọn rẹ ti wọn tun dibo yan lọdun 2009 amọ t o jade laye nigba to ṣi wa lori oye lọdun 2012.</t>
  </si>
  <si>
    <t>Nigba to n ṣe ipolongo ibo, Mutharika ṣeleri lati tun orilẹede naa ṣe ati lati da ireti araalu pada sinu ijọba.</t>
  </si>
  <si>
    <t>O ni oun yoo da irẹpọ pada si orilẹede naa, oun yoo din bi ijọba ṣe n na owo ku, bẹẹ ni oun yoo din gbese orilẹeede naa ku.</t>
  </si>
  <si>
    <t>Lanaa ọjọ Iṣẹgun ni igbimọ to n ri si eto aabo fun iwuye Ọba Ladoja fi atẹjade kan sita ninu eyi to ti kede  awọn ọna kan ti yoo wa ni titi pa atawọn ọna mii tawọn onimọtọ le gba lọjọ Ẹti.</t>
  </si>
  <si>
    <t>Ajọ naa ti aarẹ ẹgbẹ CCII tẹlẹ, Oloye Bayo Oyero, jẹ alaga rẹ sọ pe titi awọn ọna kan ṣe pataki tori Aarẹ Bola Tinubu n bọ wa sibi eto iwuye naa.</t>
  </si>
  <si>
    <t>Isin apapọ nilana ẹsin Kristẹni (Interdenominational service) ni wọn fi ṣide ayẹyẹ igbade naa lọjọ Aje ọsẹ yii, ọjọ kejilelogun, oṣu Kẹsan-an.</t>
  </si>
  <si>
    <t>Aafin Olubadan to wa ni Oke Aremo, niluu Ibadan eto ọhun ti waye, ẹgbẹ CCII lo ṣagbatẹru rẹ.</t>
  </si>
  <si>
    <t>Lẹyin eyi ni wọn ṣe idanilẹkọọ lori igbade Olubadan.</t>
  </si>
  <si>
    <t>Agba onpitan, Ọjọgbọn Toyin Falola, lo ṣe idanilẹkọọ ọhun.</t>
  </si>
  <si>
    <t>Ọjọbọ ni wọn ya sọtọ fun isin agbayanu, eyi ti yoo waye ni Civic Centre, Idi Ape, Ibadan.</t>
  </si>
  <si>
    <t>Ọjọ Ẹti, ọjọ kẹrindinlọgbọn oṣu Kẹsan-an gan-an ni Olubadan tuntun yoo gba ade ni Gbọngan Mapo bi wọn ṣe la a kalẹ.</t>
  </si>
  <si>
    <t>Gẹgẹ bi Kọmiṣanna eto iroyin nipinlẹ Oyo ṣe wi nipa awọn aṣoju igbimọ Olubadan to wa nibi ipade ti wọn ti la eto yii kalẹ, o ni awọn alẹnulọrọ nipinlẹ naa ni.</t>
  </si>
  <si>
    <t>Lara wọn ni: Awọn aṣoju Olubadan, Aṣipa Olubadan ti wọn yan sipo, Oba Hamidu Ajibade; Oloye Nureni Adisa ati Oloye Adeola Oloko to jẹ Akọwe iroyin fun Olubadan.</t>
  </si>
  <si>
    <t>Awọn mi-in ni: Kọmiṣanna Aṣa ati Irinajo afẹ, ati ti eto awọn obinrin.</t>
  </si>
  <si>
    <t>Awọn alaga ijọba ibilẹ Egbeda ati Guusu-Ila-Oorun Ibadan, awọn ọmọ ile igbimọ aṣofin lati Guusu-Ila-Oorun Ibadan ati bẹẹ bẹẹ lọ.</t>
  </si>
  <si>
    <t>Gẹgẹ bii igbimọ naa ṣe ṣalaye, lati ago meje aarọ ọjọ Ẹti lawọn ọna naa yoo ti di titi pa.</t>
  </si>
  <si>
    <t>Wọnyi ni awọn ọna ti yoo wa ni titi pa tori iwuye Ọba Ladoja gẹgẹ bi Olubadan tuntun lọjọ Ẹti: Àjáàbalẹ̀ ìròyìn BBC News Yorùbá lórí WhatsApp rẹ Darapọ̀ mọ́ wa nibì End of podcast promotion Ẹwẹ, igbimọ to n ri si eto aabo fun eto iwuye naa ti ṣeto fun awọn ibikan tawọn alejo yoo gbe ọkọ si ki lilọ bibọ ọkọ le rọrun.</t>
  </si>
  <si>
    <t>The APC again took the matter to the Court of Appeal, where judgment was delivered on February 10, 2028</t>
  </si>
  <si>
    <t>Ibi akọkọ tawọn alejo yoo lanfaani lati gbe ọkọ wọn si lọjọ Ẹti ni aye igbọkọsi ijọba ibilẹ Ariwa Ibadan lagbegbe Agodi.</t>
  </si>
  <si>
    <t>Ibomiran ti wọn ya sọtọ fawọn alejo lati gbọkọ si ni papa iṣere to wa lẹgbẹẹ agọ ọlọpaa Yemetu.</t>
  </si>
  <si>
    <t>Papa iṣere Liberty Stadium lagbegbe Oke Ado ni ibomiran ti wọn ti ya sọtọ fun ibi tawọn alejo yoo ri gbe ọkọ si lọjọ Ẹti.</t>
  </si>
  <si>
    <t>Igbimọ naa tun sọ pe awọn ti pese awọn ọkọ ti yoo maa gbe awọn alejo to ni iwe ti wọn fi pe wọn dani lati ibi ti wọn gbe ọkọ wọn si lọ si gbọngan Mapo ti iwuye naa yoo ti waye.</t>
  </si>
  <si>
    <t>Igbimọ naa wa rọ awọn olounjẹ atawọn ontaja mii lati de si gbọngan Mapo laarin ago mẹfa aarọ ọjọ Ẹti si ago meje ku Iṣẹju mẹẹdogun ki awọn ọna to di titi pa.</t>
  </si>
  <si>
    <t>Igbimọ to n ri si eto abo fun eto iwuye Ọba Ladoja gẹgẹ bi Olubadan fikun ọrọ rẹ pe awọn ọkọ to ba tẹle Aarẹ Tinubu nikan ni yoo lanfaani lati gba awọn ọna ti yoo wa ni titi pa.</t>
  </si>
  <si>
    <t>Ẹsun wi pe o tapa si ofin ile ni wọn fi kan Natasha ti wọn fi da a duro nigba naa.</t>
  </si>
  <si>
    <t>Igbakeji adari eto aabo nile aṣofin, Ọgbẹni Alabi Adedeji, lo ṣi ọfiisi naa pada lanaa ọjọ Iṣẹgun ọjọ kẹtalelogun oṣu Kẹsan an yii, eyi ti yoo fun Natasha lanfaani lati pada sile lẹyin to ti wa ni idaduro fun oṣu mẹfa gbako.</t>
  </si>
  <si>
    <t>Nigba ti o fẹ ṣi ọfiisi naa, Ọgbẹni Adedeji sọ pe ''emi Alabi Adedeji, igbakeji adari eto abo ile aṣofin agba ṣi ọfiisi Sẹnẹtọ Natasha Akpoti.'' Ninu oṣu Keji ọdun 2025 ni ede aiyede ṣẹlẹ ni ile aṣofin agba Naijiria, laarin Aarẹ ile naa, Sẹnetọ Godswill Akpabio ati Sẹnetọ Natasha Akpoti-Uduaghan.</t>
  </si>
  <si>
    <t>O fi ẹsun kan Akpabio pe o mọọmọ fẹ pa oun lẹnu mọ ni, to si fẹ gba anfaani ti oun ni lati da si ijiroro ile, lọwọ oun.</t>
  </si>
  <si>
    <t>Lẹyin gbogbo awuyewuye to waye lọjọ naa, ile aṣofin fi ẹsun kan Natasha pe o tapa si awọn ilana ile naa, pẹlu bo ṣe kọ lati jokoo si aaye ti wọn fun un.</t>
  </si>
  <si>
    <t>Ọrọ naa de iwaju igbimọ to n ba awọn aṣofin wi, ṣugbọn Natasha kuna lati farahan niwaju igbimọ naa.</t>
  </si>
  <si>
    <t>Lẹyin rẹ ni wọn kede pe wọn ti da a duro fun oṣu mẹfa.</t>
  </si>
  <si>
    <t>Ọrọ ọhun pada di ti ile ẹjọ, pẹlu bi igun mejeeji ṣe pe ẹjọ ọtọọtọ lori rẹ.</t>
  </si>
  <si>
    <t>Nigba to n gbe idajọ naa kalẹ, Onidajọ Binta Nyako sọ pe oṣu mẹfa ti wọn ni ko lọ rọọkun nile ti pọju.</t>
  </si>
  <si>
    <t>Nyako ni gẹgẹ bii abala 14(2) ofin to sọ nipa anfaani awọn aṣofin ṣe sọ, ijiya ti wọn fun aṣofin naa ko tọ ọ.</t>
  </si>
  <si>
    <t>Adajọ ọhun fi kun pe ko tọ ki ẹkun idibo ti Natasha n ṣoju wa lai ni aṣoju kankan nile igbimọ aṣofin Naijiria.</t>
  </si>
  <si>
    <t>Ẹwẹ, ile ẹjọ ọhun sọ pe Natasha jẹbi titapa si ofin ile ẹjọ nitori bo ṣe fi Aarẹ ile igbimọ aṣofin, Godswill Akpabio ṣere lasiko to bẹ ẹ loju opo Facebook rẹ nigba ti igbẹjọ ọhun n lọ lọwọ.</t>
  </si>
  <si>
    <t>Fun idi eyii, adajọ naa ni o gbọdọ san owo itanran ti iye rẹ jẹ miliọnu marun un naira fun ile ẹjọ.</t>
  </si>
  <si>
    <t>Adajọ fi kun pe Natasha gbọdọ kọ iwe ẹbẹ loju opo Facebook rẹ ati ninu iwe iroyin meji ọtọọtọ to gbajumọ ni Naiiria.</t>
  </si>
  <si>
    <t>O ni o gbọdọ ṣe gbogbo awọn nnkan wọnyii laarin ọjọ meje pere lẹyin idajọ naa.</t>
  </si>
  <si>
    <t>Ni nnkan bi ọsẹ meji sẹyin ni Natasha kọ iwe sile aṣofin wi pe oun ṣetan lati pada sẹnu iṣẹ oun lẹyin ti oṣu mẹfa ti wọn ni ko fi lọ rọọkan nile ti pe.</t>
  </si>
  <si>
    <t>Amọ, awọn aṣofin yari pe awọn ko ni gba a laye lati pada sile, ayafi ti ẹjọ to wa nile ẹjọ ba pari.</t>
  </si>
  <si>
    <t>Ile aṣofin sọ pe awọn yoo ṣe agbeyẹwo idaduro Natasha to bẹrẹ lọjọ kẹfa oṣu Kẹta ọdun yii lẹyin ti ile ẹjọ kotẹmilọun ba gbe idajọ rẹ kalẹ lori ọrọ naa.</t>
  </si>
  <si>
    <t>Gbogbo igba ni Natasha maa n sọ wi pe nitori ẹsun iyọnilẹnu fun ibalopọ ti oun fi kan aarẹ ile, Sẹnẹtọ Godswill Akpabio, eyi ti ile yi danu ni wọn n fi fooro ẹmi oun.</t>
  </si>
  <si>
    <t>Ẹwẹ, ile aṣofin agba ti sun ijokoo ile si ọjọ keje osu Kẹwaa to n bọ yii, eyi to tumọ si pe ile ko ni jokoo fun ọsẹ meji.</t>
  </si>
  <si>
    <t>Akọwe ile, Kamoru Ogunlana, lo fidi ọrọ yii mulẹ ninu lẹta kan to fi ṣọwọ gbogbo ile.</t>
  </si>
  <si>
    <t>Ọgbẹni Ogunlana rọ gbogbo aṣofin ṣakiyesi ọjọ ti ijokoo yoo bẹrẹ pada.</t>
  </si>
  <si>
    <t>''Igbimọ alaṣẹ ile aṣofin agba ati aṣoju-ṣofin ni ki n sọ fun gbogbo aṣofin ati araalu wi pe ijokoo ile to yẹ ko bẹrẹ tẹlẹ lọjọ Iṣẹgun ọjọ kẹtalelogun oṣu Kẹsan an yii ti di sisun siwaju si ọjọ keje oṣu Kẹwaa to n bọ.</t>
  </si>
  <si>
    <t>Amọ, awọn igbimọ ile yoo maa ba iṣẹ wọn lọ,'' Ọgbẹni Ogunlana lo sọ bẹẹ nilu iwe to fi ṣọwọ si gbogbo ile.</t>
  </si>
  <si>
    <t>Ọpọ ọmọbibi ipinlẹ Osun ti wọn bawọn akọroyin sọrọ ni wọn fẹsun kan Gomina Adeleke wi pe o n na owo ilu ni inakunaa.</t>
  </si>
  <si>
    <t>Awọn mii tun sọ pe gomina n ṣegbe lẹyin ilu rẹ Ede pẹlu bi o ti buwọlu owo gọbọi fun atunṣe ojubọ Sango-Timi to wa ni aafin ọba ilu rẹ.</t>
  </si>
  <si>
    <t>Awọn ọmọbibi ipinlẹ Osun mii ti wọn tun sọrọ lori itakun ayelujara fẹsun kan gomina wi pe lori ilu rẹ lo n na pupọ ninu owo ipinlẹ Osun si.</t>
  </si>
  <si>
    <t>Oyewole Sakariyau ni tiẹ beere loju opo Facebook rẹ pe ki ni iwulo ojubọ gan an fawọn eeyan ipinlẹ Osun.</t>
  </si>
  <si>
    <t>Omotoba Adaramaja ni tiẹ koro oju si igbesẹ naa, o ni nnkan to buru jai ni pe ọrọ ojubọ ṣe pataki si gomina ju igbayegbadun araalu lọ.</t>
  </si>
  <si>
    <t>Adaramaja ni ''ki ni pataki atunṣe ojubọ nibi ti ebi ti n pa awọn eeyan ipinlẹ Osun, amọ ṣa, awọn eeyan n wo gbogbo nnkan ti ijọba n ṣe o.'' Ẹwẹ, Bash Adams, to jẹ ọmọbibi ilu Ede ti ojubọ naa wa ti sọ pe iyalẹnu lo jẹ wi pe gomina ipinlẹ Osun n nawo lori atunṣe ojubọ, nigba ti ọpọ nnkan to ṣe pataki wa nilẹ lai tii ṣe.</t>
  </si>
  <si>
    <t>''Ọmọ ilu Ede ni mi, ṣugbọn mi o fọwọ si igbesẹ yii tori ọpọ nnkan lo wa nlẹ ti ijọba le nawo le lori ju ojubọ lọ,'' Adams lo sọ bẹẹ.</t>
  </si>
  <si>
    <t>Iwadii BBC Yoruba fi han pe loootọ ni ijọba ipinlẹ Ọsun ti iṣẹ atunṣe ojubọ Sango-Timi laafin Timi Agbale ilu Ede fun agbaṣẹṣe.</t>
  </si>
  <si>
    <t>Gẹgẹ bí alaye to wa lori itakun ayelujara àjọ Osun e-GP to n ri si bi ìjọba ṣe n gbe awọn akanṣe iṣẹ ilu fawọn kọngila, ìjọba Gomina Adeleke ti gbe iṣẹ atunkọ ojubọ Sango-Timi naa fun agbaṣẹṣe loootọ.</t>
  </si>
  <si>
    <t>Ọjọ kẹwaa oṣu Kẹta ọdún 2025 ni ijọba ti gbe iṣẹ naa fun kọngila lati ṣe.</t>
  </si>
  <si>
    <t>Ileeṣẹ ìjọba to n ri si ọrọ aṣa ati irinajo afẹ lo ṣagbatẹru akanṣe iṣẹ naa ki ìjọba to gbe fun agbaṣẹṣe.</t>
  </si>
  <si>
    <t>Kódà, orukọ ileeṣẹ to gba isẹ naa lati ṣe ni i ṣe Atomhans.</t>
  </si>
  <si>
    <t>Alaye tun wa lori ikanni ajọ Osun e-GP pe N678,843,462 ni owo ti ijọba buwọ́lù fun akanṣe iṣẹ naa.</t>
  </si>
  <si>
    <t>Àjáàbalẹ̀ ìròyìn BBC News Yorùbá lórí WhatsApp rẹ Darapọ̀ mọ́ wa nibì End of podcast promotion Ijọba ipinlẹ Osun ti sọ pe idi ti Gomina Ademola Adeleke fi buwọlu N678m fun atunṣe ojubọ Sango-Timi ni pe ijọba n n ṣe atunṣe gbogbo ibi iṣẹmbaye to ni ṣe pẹlu aṣa ati ẹsin lati le fa oju awọn arinrinajo afẹ mọra.</t>
  </si>
  <si>
    <t>Agbẹnusọ gomina ipinlẹ Osun, Rasheed Olawale, lo fidi ọrọ yii mulẹ fun BBC Yoruba.</t>
  </si>
  <si>
    <t>Ọgbẹni Olawale ṣalaye pe ''lọdun 2023 ni ijọba bẹrẹ iṣẹ atunṣe yii pẹlu ojubọ Osun Osogbo.</t>
  </si>
  <si>
    <t>Iṣẹ si n lọ lọwọ lori opopona to lọ si ojubọ Osun Osogbo, bakan naa ni ijọba tun n sẹ atunṣe lori omi Osun Osogbo to fi mawọn nnkan mii to nilo atunṣe lojubọ naa.'' Olawale ni irufẹ iṣẹ yii ni ijọba fẹ ṣe ni ojubọ Sango-Timi naa eyi to wa lara ibi iṣẹmbaye ti ajọ UNESCO buwọlu, nitori kaakiri agbaaye lawọn alejo ti maa n ṣabẹwo si ojubọ naa.</t>
  </si>
  <si>
    <t>O ni gbogbo eto to yẹ ki ijọba ṣe ki o to gbe iṣẹ naa jade ni o ṣe, ati pe atunṣe ojubọ naa wa ninu eto iṣuna ipinlẹ Osun ti ọdun 2025 yii.</t>
  </si>
  <si>
    <t>Olawale fikun ọrọ rẹ pe ọpọ iṣẹ to wa ninu eto iṣuna ipinlẹ Osun fọdun 2025 ni ijọba ko tii le nitori airowogba awọn ijọba ibilẹ l'Osun.</t>
  </si>
  <si>
    <t>O ni iṣẹ atunṣe ojubọ Sango-Timi naa ko tiẹ tii bẹrẹ tori ijọba ko tii ri owo lati fi ṣe e.</t>
  </si>
  <si>
    <t>Ṣaaju ni Obasanjo ti kọkọ sọ pe irọ ni iroyin naa nibi eto kan ti Aarẹ tẹlẹ, Goodluck Jonathan ṣagbatẹru rẹ.</t>
  </si>
  <si>
    <t>Obasanjo sọ nibi ipade naa pe oun ko nifẹ si ati ṣe saa kẹta, bi bẹẹ kọ, oun yoo jawe olubori ti oun ba gbiyanju rẹ.</t>
  </si>
  <si>
    <t>O ni "Mi o kii ṣe omugọ, ti mo ba fẹ ṣe saa kẹta, mo mọ bi mo ṣe maa ṣe ti maa si bori.</t>
  </si>
  <si>
    <t>"Ko si ọmọ Naijiria kankan boya o ti ku ni o tabi o ṣi wa laaye ti yoo sọ pe mo wa ba oun pe mo fẹ ṣe saa kẹta.</t>
  </si>
  <si>
    <t>Gẹgẹ bo ṣe sọ, pupọ ninu awọn akẹgbẹ oun nile igbimọ aṣofin lọdun naa lọhun lo mọ gbogbo ọgbọn ti Baba Iyabo da lati ma fi ipo silẹ lasiko to yẹ.</t>
  </si>
  <si>
    <t>Àjáàbalẹ̀ ìròyìn BBC News Yorùbá lórí WhatsApp rẹ Darapọ̀ mọ́ wa nibì End of podcast promotion O sọ pe "Mo le fidi rẹ mulẹ fun yin pe Obansanjo gbiyanju lati ṣe saa kẹta.</t>
  </si>
  <si>
    <t>"O gbiyanju, bẹẹ lo sa gbogbo ipa rẹ lati ri saa kẹta ṣe amọ o lulẹ ninu igbiynaju rẹ.</t>
  </si>
  <si>
    <t>"Toripe ko pe ẹnikẹni lori aago pe oun fẹ saa kẹta kii ṣe ẹri to dantọ lati fidi rẹ mulẹ pe ko gbiyanju rẹ.</t>
  </si>
  <si>
    <t>"Ọgbọn ẹwẹ lo lo ṣugbọn gbogbo wa nile igbimọ aṣofin ni a mọ daadaa pe o ṣiṣẹ lọsan ati ni oru, koda, pupọ ninu wa ni awọn ẹmẹwa rẹ dunkoko mọ." Bugaje ṣalaye pe lara awọn ti wọn dunkoko mọ lọdun naa lọhun ni Sẹnetọ to ṣoju ẹkun Ariwa nigba naa, Victor Lar.</t>
  </si>
  <si>
    <t>O ni ọrọ naa le to bẹẹ ti Lar fi na papa bora fun ọpọ ọjọ.</t>
  </si>
  <si>
    <t>O ṣalaye pe awọn to dunkoko mọ awọn atawọn to n fi owo le awọn kiri nigba naa ṣi wa laye lonii, bẹẹ ni awọn to gba owo nigba naa ko tii ku, nitori naa ẹlẹri oun ko si ni ọrun alakeji.</t>
  </si>
  <si>
    <t>Ti ẹ ko ba gbagbe, ọdun 2006 ni awuyewuye waye lori atunṣe si ofin ọdun 1999 ki awọn aṣofin to pana rẹ.</t>
  </si>
  <si>
    <t>To ba jẹ pe awọn aṣofin fi ọwọ si atunto naa lọdun naa lọhun ni, awọn Aarẹ ni Naijiria yoo lanfani lati maa lo saa mẹta lori alefa bayii.</t>
  </si>
  <si>
    <t>Obasanjo fidi ọrọ yii mulẹ nibi ijiroro lori eto ìjọba awarawa ti Aarẹ Naijiria tẹlẹ ri mii, Goodluck Jonathan, ṣagbatẹru rẹ niluu Accra, ti i ṣe olu ilu orilẹede Ghana.</t>
  </si>
  <si>
    <t>Obasanjo ni ko si ẹni to ni ẹri to le fidi rẹ mulẹ pe loootọ loun gbiyanju lati dupo aarẹ Naijiria fun saa kẹta lẹyìn toun lo saa meji tan.</t>
  </si>
  <si>
    <t>"Kìí ṣe pe ori mi o pe.</t>
  </si>
  <si>
    <t>Mo mọ nnkan ti mo le ṣe ti mo ba fẹ dupo aarẹ fun saa kẹta.</t>
  </si>
  <si>
    <t>Ko si ọmọ Naijiria kan yala eyi to ti ku tabi wa laaye to le sọ pe mo pe oun wi pe mo fẹ dupo aarẹ fun saa kẹta," Obasanjo lo sọ bẹẹ.</t>
  </si>
  <si>
    <t>Aarẹ ana naa fikun ọrọ rẹ pe biba awọn ti Naijiria jẹ lowo sọrọ lati fagile gbese ti Naijiria jẹ le ju ki oun gbiyanju lati dupo aarẹ fun kẹta lọ.</t>
  </si>
  <si>
    <t>Obasanjo ni "gbogbo igba ni mo maa n sọ ọ pe ti mo ba fẹ dupo aarẹ fun igba kẹta ni toootọ ni, n ko ba ṣe bẹẹ, torí o rọrun fun mi lati lọ fun saa kẹta ju riri idarijin gba fun gbese ti Naijiria jẹ lọ." Aarẹ Naijiria tẹlẹ wa kìlọ fawọn olori orilẹede ti wọn kii fẹ fipo silẹ lati jawọ lapọn ti ko yọ.</t>
  </si>
  <si>
    <t>Obasanjo ni lasiko ti eeyan ba si wa ni abarapa ni eeyan maa lokun lati le ṣiṣẹ daadaa.</t>
  </si>
  <si>
    <t>"Ti ara ba ti di kujẹ kujẹ, eeyan o ni le ṣe ọpọ nnkan daadaa mọ.</t>
  </si>
  <si>
    <t>Amọ, mo mọ pe awọn kan maa n ro wi pe t'awọn ko ba si níbẹ, ko si ẹlòmíràn to le ṣe e.</t>
  </si>
  <si>
    <t>Wọn tiẹ tun máa n sọ pe awọn o tii ri ẹlomiran, mo ni igbagbọ pe ẹṣẹ ni eyi jẹ si Ọlọrun.</t>
  </si>
  <si>
    <t>Idi ni pe Ọlọrun le gba ẹmi rẹ nigba kugba ti ẹlomiran yóò si bọ si ipo rẹ.</t>
  </si>
  <si>
    <t>Ẹni to ba si bọ sí ipo rẹ naa le ṣe daadaa ju ọ lọ, o si tun le ma ṣe daadaa to ọ," Obasanjo ṣalaye.</t>
  </si>
  <si>
    <t>Ni bayii, Ataoja Osogbo ati Oluwoo ti ilu Iwo, nipinlẹ Osun ni wọn tun bẹrẹ ija agba tiwọn.</t>
  </si>
  <si>
    <t>Oba ilu Osogbo ti a mọ si Ataoja, Kabiyesi Oba Jimoh Oyetunji ati Oluwoo ilu Iwo, Ọba Abdulrosheed Akanbi, n ba ara wọn du ẹni ti ipo kẹrin tọ si ninu awọn ọba ipinlẹ Osun.</t>
  </si>
  <si>
    <t>Bo tilẹ jẹ pe wẹrẹ ni ija agba naa bẹrẹ, o ti kari ayelujara bayii, bi awọn ti Oluwoo si ṣe n sọ pe iwọ lagba, bẹẹ ni awọn alatilẹyin Ataoja naa n sọ pe Ataoja lo wa nipo kẹrin ninu awọn ọba onipo nla nipinlẹ Osun.</t>
  </si>
  <si>
    <t>Awijare awọn eeyan Ataoja ni pe Osogbo ni olu ilu ipinlẹ Osun, eyi si to lọtọ lati fi titobi ọba ilu naa han, ko si duro ni ipo kẹrin.</t>
  </si>
  <si>
    <t>Awọn eeyan Oluwoo ni tiwọn n sọ pe Iwo ti wa latigba iwaṣẹ, wọn ni Oduduwa funra rẹ lo fun Oluwoo lade, o yatọ si ti Ataoja ti ko pẹ to bẹrẹ si i dade.</t>
  </si>
  <si>
    <t>Ataoja Osogbo, Ọba Jimoh Oyetunji lo wu u jade nigba to n ṣayẹyẹ ọdun kẹẹẹdogun rẹ lori itẹ laipẹ yii.</t>
  </si>
  <si>
    <t>Yunifasiti ipinlẹ Osun ni Ataoja ti sọ pe lati ilẹ wa, Ataoja lo wa nipo kẹrin ninu awọn ọba ipinlẹ Osun.</t>
  </si>
  <si>
    <t>O ni lasiko ti Ataoja ana, Ọba Iyiola Matanmi III, wa lori itẹ ni wọn gbe e fun Oluwoo ti ilẹ Iwo lọna aitọ.</t>
  </si>
  <si>
    <t>Kabiyesi ilu Osogbo naa sọ pe oun ko ba ọba kankan ja, bi ko ṣe pe oun n fi idi otitọ to wa nipa ipo kẹrin ọba Osun naa mulẹ bo ṣe wa ninu itan.</t>
  </si>
  <si>
    <t>" Lasiko ti Ataoja ilu Osogbo to waja, Oba Iyiola Oyewale,rin irin ajo lọ si oke okun ni, ko si too pada de, wọn ti gbe ipo rẹ fun Oluwoo ti ilẹ Iwo.</t>
  </si>
  <si>
    <t>Bi Oluwoo ṣe di ọba to wa nipo kẹrin ninu awọn ọba ipinlẹ Osun niyẹn.</t>
  </si>
  <si>
    <t>"Nigba ti mo sọrọ nipe ẹ nigba kan, awọn eeyan ṣi mi gbọ, wọn yi ọrọ mi po, tori ẹ ni mo ṣe dakẹ ti mi o wi nnkan kan mọ, ṣugbọn mo n ṣiṣẹ naa labẹnu.</t>
  </si>
  <si>
    <t>Mi o ba ọba kankan  ja, ṣugbọn Ataoja lo ni ipo kẹrin nipinlẹ Osun" Bẹẹ ni Ataoja Osogbo ṣalaye.</t>
  </si>
  <si>
    <t>O fi kun un pe awọn baba nla oun lo ti n di ipo kẹrin naa mu.</t>
  </si>
  <si>
    <t>Àjáàbalẹ̀ ìròyìn BBC News Yorùbá lórí WhatsApp rẹ Darapọ̀ mọ́ wa nibì End of podcast promotion Nigba ti Oba Abdulrosheed Akanbi; Oluwoo ilẹ Iwo, n fesi si ọrọ yii lati ọwọ Akọwe iroyin rẹ, Alli Ibraheem, o tako alaye Ataoja Osogbo.</t>
  </si>
  <si>
    <t>Atẹjade naa ṣalaye pe Ataoja fẹẹ yi itan pada pẹlu ohun to sọ naa ni.</t>
  </si>
  <si>
    <t>Ninu esi naa ni Oluwoo ti rọ Ataoja lati kọ nipa itan ododo lati ọdọ awọn agbaagba ẹni apọnle l'Osogbo.</t>
  </si>
  <si>
    <t>Oluwoo sọ pe ki Ataoja ma ṣe da oju ọrọ ru nipa ori itẹ awọn Baba nla Yoruba.</t>
  </si>
  <si>
    <t>"Awọn eeyan ire ilu Iwo naa ti gbọ nipa fidio kan to n lọ lori ayelujara, eyi ti wọn ni Ataoja Osogbo lo ṣe e, to fi n jiyan ipo.</t>
  </si>
  <si>
    <t>"Emi bii ẹnikan wo fidio naa pẹlu ijakulẹ ọkan, ṣugbọn ko jọ mi loju.</t>
  </si>
  <si>
    <t>"O  ye ki n ṣalaye yii lati da aabo bo itẹ Oluwoo ati ohun to le yi itan Yoruba pada.</t>
  </si>
  <si>
    <t>"Bi a ṣe mọ, Baalẹ ni Ataoja titi di 1948 to ṣẹṣẹ bẹrẹ si i dade.</t>
  </si>
  <si>
    <t>"Ade Atoaja ko ti i pẹ, oun ati awọn miran ni wọn jẹ lasiko ijọba ologun gomina David Jemibewon, ti wọn sọ dofin ni 1976.</t>
  </si>
  <si>
    <t>"Iye ọdun ade ileke ti Oluwo n de ko ṣee ṣi, o ti wa lati ayebaye, lati orisun ni, ògidí si ni." Eyi ati awọn ọrọ mi-in ni Ọba Akanbi fi gbe alaye rẹ lẹsẹ, ti awọn alatilẹyin rẹ si kin in lẹyin pe bẹẹ ni.</t>
  </si>
  <si>
    <t>Ọrọ naa ko ti i pari, pẹlu bi ero awọn ọba naa ko ṣe jọ ara wọn.</t>
  </si>
  <si>
    <t>Kọmiṣanna ọrọ ijọba ibilẹ ati oye jijẹ nipinlẹ Osun, Amofin Dosu Babatunde, ṣalaye fun BBC nipa ọrọ yii pe: "Awa o mọ pe ẹnikẹni n ja si nnkan kan, emi o tiẹ mọ pe wọn n ja.</t>
  </si>
  <si>
    <t>"Ko si idi kankan fun ija, ọmọ ilẹ Yoruba ni wa .</t>
  </si>
  <si>
    <t>"Gẹgẹ bii ọmọ Yoruba, ko yẹ ka tun maa fẹ ẹ loju, ẹbẹ ni mo maa bẹ pe ki ẹnikẹni ma jẹ ko fẹju.</t>
  </si>
  <si>
    <t>Ọba Aeyeye lo sọ ọrọ yii lasiko to ṣabẹwo si Olubadan nile rẹ to wa lagbegbe Bodija, niluu Ibadan.</t>
  </si>
  <si>
    <t>Ooni juwe Olubadan gẹgẹ bii ẹni to ni iriri to dantọ lẹyin to ti wa ni ipo Sẹnetọ ati gomina nigba kan ri ko to tun gori itẹ ọba bayii.</t>
  </si>
  <si>
    <t>Gẹgẹ bii ohun to sọ, akoko Ladoja bii Olubadan yoo san awọn ọmọ ilu naa nile ati lokeere.</t>
  </si>
  <si>
    <t>O ni "Ọba Ladoja kii kan n ṣe olori nikan, o jẹ apẹrẹ baba to ni oniruru iriri, a si nilo ọgbọn ati suuru rẹ lasiko yii ju ti tẹlẹ lọ.</t>
  </si>
  <si>
    <t>Awọn Ooni kan ti gbe niluu naa ri, eyii to fi ilu ọhun sipo ti a ko le fi ọwọ rọ sẹyin ninu aṣa ati ohun ẹmi." Lẹyin naa lo ke si awọn ọba ilẹ Yoruba pe ki wọn yago fun ẹtanu ati ija emi ni mo ju ọ lọ laarin ara wọn.</t>
  </si>
  <si>
    <t>O ni "Ti a ba kọ lati wa ni irẹpọ, a maa ja awọn aṣaaju atawọn eeyan wa kulẹ." Ooni tun fi akoko naa rọ Olubadan lati maṣe naani awọn ẹlẹgan, ko si gbajumọ iṣẹ rẹ nipo ti wọn yan an si.</t>
  </si>
  <si>
    <t>Ọpọ araalu lo ti bẹrẹ si n fi erongba wọn lede lori ipade Ooni ati Olubadan yii, paapaa bi Ooni ṣe gbera lọ ilu Ibadan lati ki Olubadan.</t>
  </si>
  <si>
    <t>Gẹgẹ bii ohun ti awọn onimọ nipa ọrọ to n lọ n sọ, eyii n tumọ si pe irẹpọ to ti wa laarin awọn lọbalọba nilẹ Yoruba tipẹtipẹ ko tii di ohun igbagbe.</t>
  </si>
  <si>
    <t>Ipade ọhun tun n tumọ si pe ko si ikunsinu kankan laarin awọn Ọba mejeji ati pe bi ilẹ Yoruba yoo ṣe tẹsiwaju lo jẹ awọn mejeji logun.</t>
  </si>
  <si>
    <t>Ti ẹ ko ba gbagbe, lẹnu ọjọ mẹta yii ni ija ta ni olori n jẹyọ laarin Ooni Ile Ife ati Aaalfin ilu Oyo, ti irufẹ nnkan bẹẹ tun n waye laarin Oluwo ti ilu Iwo ati Ayaoja ilu Osogbo.</t>
  </si>
  <si>
    <t>Bo tilẹ jẹ pe Ooni ko mẹnuba ọrọ Alaafin lasiko ipade naa, Olubadan ti sọ ṣaaju pe ko si ija kankan laarin Ooni ati Alaafin, amọ awọn alatilẹyin awọn mejeji lo fẹ da ija agba silẹ laarin wọn.</t>
  </si>
  <si>
    <t>Ẹwẹ, Ooni ti kede pe inu oṣu Kejila, ọdun yii ni wọn yoo ja ewe oye le Oloye Jubril Dotun Sanusi lori gẹgẹ bii Okanlomo Oodua nilẹ Yoruba.</t>
  </si>
  <si>
    <t>Ikede yii lo fopin si awuyewuye to wa nilẹ ṣaaju lori bi wọn ṣe kede Sanusi gẹgẹ bii ọmọ oye naa.</t>
  </si>
  <si>
    <t>Ṣaaju ni Alaafin ilu Oyo, Ọba Akeem Abimbola Owoade, ti kọkọ bu ẹnu atẹ lu Ooni fun igbesẹ rẹ lati kede ọmọ oye naa.</t>
  </si>
  <si>
    <t>O ni ko tọ si Ooni lati fi eeyan jẹ oye gbogbo ilẹ Yoruba.</t>
  </si>
  <si>
    <t>Apapọ oludibo toto 6.7m ni igbagbọ wa pe wọn yoo jade dibo lati fi ero wọn han sita lori iwe ofin tuntun ọhun.</t>
  </si>
  <si>
    <t>Eyi jẹ igbesẹ akọkọ to da lori dida orilẹede Guinea pada si ijọba awarawa.</t>
  </si>
  <si>
    <t>Lati le tẹwọgba esi idibo yii, ida aadọta araalu gbọdọ jade dibo lori iwe ofin tuntun yii.</t>
  </si>
  <si>
    <t>Gẹgẹ bii National Gendarmerie ṣe ṣalaye, o le ni ọmọ ogun 45,000  ti ijọba ti da si ilu lati ri pe igbesẹ naa lọ ni irọnu ati lati ri pe awọn araalu jade fi ero wọn sita.</t>
  </si>
  <si>
    <t>Bakan naa ni ọpọ sọ "Bẹẹni" si ibeere lati se afikun si iye ọdun ti aarẹ yoo ma lo lati ọdun marun un si meje fun saa meji ati idasilẹ ile igbimọ aṣofin agba, ti aarẹ yoo si ma yan ida kan ninu ida mẹta awọn amofin.</t>
  </si>
  <si>
    <t>Ọgagun Mamady Doumbouya ko ti kede erongba rẹ lati jade dupo aarẹ ṣugbọn awọn alatako rẹ ni igbesẹ idibo to gbe sita yii ti fihan pe o fẹ siwaju gẹgẹ bii olori orilẹede naa.</t>
  </si>
  <si>
    <t>Doumbouya ditẹgbajọba ni oṣu kẹsan an ọdun 2021, to si le Aarẹ Alpha Conde, ẹni le kuro ni ilu lọ si Istanbul, kuro nipo aarẹ.</t>
  </si>
  <si>
    <t>Awọn olori ẹgbẹ alatako meji, Alpha Conde ati Cellou Dalein Diallo, ni wọn ti yago fun eto idibo naa, ti wọn si rọ awọn alatilẹyin naa lati ṣe bẹẹ.</t>
  </si>
  <si>
    <t>Ijọba ologun Guinea kọ lati da ijọba ni ipari ọdun 2024 gẹgẹ bii ileri ti wọn ṣe.</t>
  </si>
  <si>
    <t>Lasiko eto idibo yii lori iwe ofin tuntun, ijọba ologun ti ṣe ileri pe awọn yoo ri pe eto idibo si ipo ijọba waye ṣugbọn wọn ko ti kede ọjọ ti eyi yoo waye.</t>
  </si>
  <si>
    <t>Mọ̀ si nípa ọ̀gágun Mahamady Doumbouya tó dìtẹ̀ gbàjọba lọ́wọ́ Ààrẹ Alpha Condé Ọjọ karun un, oṣu Kẹsan an, ọdun 2021 ni awọn ọmọ ogun gbajọba lọwọ Aarẹ Alpha Condé ti orilẹ-ede Guinea lẹyin ti wọn ti kọkọ ṣina ibọn bolẹ nile rẹ.</t>
  </si>
  <si>
    <t>Lẹyin naa ni ọgagun Mahamady Doumbouya kede lori ẹrọ amohunmaworan ilẹ naa kan pe awọn Ologun ti gbajọba lọwọ alagb ada.</t>
  </si>
  <si>
    <t>O si sọ pe awọn ọmọ ogun yoo gbe ijọba fun ẹlomiran wọọrọwọ ti akoko ba to.</t>
  </si>
  <si>
    <t>Agbegbe Forecariah, to wa ni iwọ oorun Guinea ni ọgagun naa n gbe ki iṣẹlẹ iditẹgbajọba naa to waye.</t>
  </si>
  <si>
    <t>O kawe gboye nile ẹkọ "War College" ni France, o si ni iriri iṣẹ ogun jija fun ọdun marundunlogun lẹyin to ti lọ foju wina ogun ni Afganistan, Cote d'Ivoire, Djibouti ati Central African Republic.</t>
  </si>
  <si>
    <t>Iroyin sọ pe ko si ẹni to mọ ibi ti ipade naa ti waye niluu Abuja l'Ọjọbọ.</t>
  </si>
  <si>
    <t>Lara awọn to wa nibi ipade ọhun ni gomina ipinlẹ Sokoto tẹlẹ ri, Aminu Tambuwal ati gomina ipinlẹ Kwara tẹlẹ, Abdulfatai Ahmed.</t>
  </si>
  <si>
    <t>Awọn abẹnugan lagbo oṣelu mii to wa nibi ipade naa ni minisita igbokegbodo ọkọ tẹlẹ, Rotimi Amaechi ati minisita fun ọrọ aje ori ayelujara tẹlẹ, Isa Pantami.</t>
  </si>
  <si>
    <t>Loju opo X rẹ ni Atiku ti sọ fawọn eeyan wi pe oun ti wa nibi ipade naa, o ni eyi ṣapejuwe ikorajọpọ alatako to fẹsẹ mulẹ.</t>
  </si>
  <si>
    <t>Atiku ni ADC ṣetan lati rọpo Aarẹ Bola Tinubu pẹlu olori ti yoo dari orilẹede Naijiria daadaa.</t>
  </si>
  <si>
    <t>Àjáàbalẹ̀ ìròyìn BBC News Yorùbá lórí WhatsApp rẹ Darapọ̀ mọ́ wa nibì End of podcast promotion Ipade to waye niluu Abuja da lori wiwa ni iṣọkan gẹgẹ bii ẹgbẹ alatako lati le koju ẹgbẹ oṣelu APC ijọba to wa lode ninu eto idibo ọdun 2027.</t>
  </si>
  <si>
    <t>Alaga ẹgbẹ ADC to jẹ aarẹ ile aṣofin agba l'Abuja tẹlẹ, Mark, lo dari ipade ọhun.</t>
  </si>
  <si>
    <t>Wọnyi ni koko to jẹyọ nibi ipade awọn abẹnugan ADC niluu Abuja gẹgẹ bi akọwe iroyin ẹgbẹ naa, Bolaji Abdullahi ṣe sọ: Gbogbo awọn to fẹ dupo aarẹ fẹnu ko pe awọn yoo ṣatilẹyin fun ẹnikẹni to ba wọle ibo abẹnu fun oludije sipo aarẹ fun eto idibo ọdun 2027.</t>
  </si>
  <si>
    <t>Nnkan keji ti wọn fẹnu ko le lori nibi ipade naa ni pe kawọn ọmọ ẹgbẹ to ba si wa ninu ẹgbẹ oṣelu mii kọwe kuro nibẹ ki wọn si kọju mọ ADC nikan.</t>
  </si>
  <si>
    <t>Koko kẹta ti wọn fẹnu ko le lori nibi ipade ọhun ni pe igbimọ amuṣẹya yoo kede igba ti eto idibo abẹnu yoo waye ṣaaju ibo gomina to n bọ nipinlẹ Osun ati Ekiti.</t>
  </si>
  <si>
    <t>Ọdun 2005 ni wọn kọkọ da ẹgbẹ oṣelu ADC silẹ, amọ, orukọ ti wọn n pe e nigba naa ni Alliance for Democratic Change.</t>
  </si>
  <si>
    <t>Lọdun 2011 ni wọn forukọ ẹgbẹ naa forukọ silẹ pẹlu ajọ eleto idibo Naijiria, INEC.</t>
  </si>
  <si>
    <t>Loṣu Keje to kọja ni agbarijọpọ awọn oloṣelu ti wọn koro oju si iṣejọba ẹgbẹ APC to wa lode kora jọ pọ lati inu oniruuru ẹgbẹ oṣelu ni Naijiria ti wọn si darapọ mọ ADC.</t>
  </si>
  <si>
    <t>Lara awọn abẹnugan to ti darapọ mọ ADC ni gomina ipinlẹ Osun tẹlẹ, Rauf Aregbesola, alaga ẹgbẹ oṣelu APC tẹlẹ, John Odigie-Oyegun, Dino Melaye, Uche Secondus ati Emeka Ihedioha.</t>
  </si>
  <si>
    <t>Ọpọ eeyan lo ti n sọ pe o ṣee ṣe ki Atiku, Peter Obi, ati Amaechi wa lara awọn ti yoo kopa ninu eto ibo abẹnu ADC fun oludije sipo fun ibo aarẹ ọdun 2027.</t>
  </si>
  <si>
    <t>Bẹrẹ lati bi wọn yoo se ti awọn ọna kan pa, eyi ti wọn ti fi to awọn araalu leti nipa awọn ọna miiran ti wọn le lo ti yoo mu irinajo wọn jẹ irọnu.</t>
  </si>
  <si>
    <t>Bẹẹ naa ni ijọba ipinlẹ Oyo tun si paapa ofurufu Samuel Ladoke Akintola to wa niluu Ibadan, to si ti gba alejo baalu akọkọ lẹyin ti wọn ti pa ninu oṣu kẹta ọdun yii.</t>
  </si>
  <si>
    <t>Igbesẹ yii lo waye nitori bi ilu Ibadan yoo ṣe ma gba alejo Aarẹ orilẹede Naijiria, Bola Tinubu fun ayẹyẹ ifinijoye Olubadan tuntun.</t>
  </si>
  <si>
    <t>Baaluu yii balẹ ni deede ago mẹsan an kọja isẹju mẹrinla lọjọru, to si pada ọpọ idunu ati ayọ araalu.</t>
  </si>
  <si>
    <t>Bakan naa, Babaloja gbogbo ipinlẹ Oyo, Asiwaju Yekeen Abass ti paṣẹ pe ki gbogbo ọja pata niluu ibadan di titi pa ṣaaju eto ifinijoye Olubadan.</t>
  </si>
  <si>
    <t>Ifinijoye yii ni yoo waye ni ọjọ Kẹrindinlọgbọn oṣu kẹsan an ọdun 2025 ni gbọngan Mapo niluu Ibadan, to jẹ olu ilu fun ipinlẹ Oyo.</t>
  </si>
  <si>
    <t>Ikede yii lo wa ninu atẹjade ti Babalọja fi sita fun awọn akọroyin lati fi ki Olubadan tuntun, Oba Rasidi Adewolu Ladoja ku orire ifinijoye gẹgẹ bii Olubadan kẹrinlelogoji Babalọja rọ gbogbo awọn ọlọja ni ijọba ibilẹ mọkanla to wa ni ilu Ibadan pe ki wọn ti ọja wọn pa lati bu ọla fun ori ade tuntun.</t>
  </si>
  <si>
    <t>Oye ọba jijẹ ilẹ Ibadan ko ruju, ẹni to kan yoo ti mọ ara rẹ ṣaaju akoko ti yoo debẹ.</t>
  </si>
  <si>
    <t>Idi ree ti gbogbo eeyan fi n ṣe Kabiyesi silẹ bayii fun Oloye Sẹnetọ Rasheed Adewolu Ladoja, gomina Oyo tẹ́lẹ̀ tí yóò di Olúbàdàn kẹrìnlélógójì.</t>
  </si>
  <si>
    <t>Aridaju yii n waye pe Rasheed Ladoja too di Olubadan tori ipapoda Olubadan Owolabi Olakuleyin, nigba to ku ọjọ diẹ ko pe ọdun kan to jọba ilu Ibadan.</t>
  </si>
  <si>
    <t>Ọjọ kejila, oṣu Keje ọdun 2024 ni ọba to waja naa di Olubadan kẹtalelogoji labẹ ofin.</t>
  </si>
  <si>
    <t>Ninu atẹjade kan ti adari ati akọwe ẹgbẹ APTAN ẹka ti Ile Ife, Kọmureedi Saidi Adegoke ati Monsur Jimoh buwọlu, fi sita ni ẹgbẹ naa ti sọ pe awọn aṣoju aafin Ooni ọhun tun ji ọja awọn ọmọ ẹgbẹ awọn kan ko lọ.</t>
  </si>
  <si>
    <t>Wọn wa ke pe ijọba apapọ ati ileeṣẹ ọlọpaa lati dasi ọrọ naa.</t>
  </si>
  <si>
    <t>Ẹgbẹ APTAN ṣalaye ninu atẹjade ọhun pe ''lọjọ Iṣẹgun ọsẹ to kọja ni iṣẹlẹ ọhun waye ni Ọjatuntun Otisese niluu Ile Ife.</t>
  </si>
  <si>
    <t>Ṣadeedee lawọn ọkunrin kan ti wọn sọ pe aafin Ooni lawọn ti wa yabo ọja wa, ti wọn si fi ipa ko ọja awọn ọmọ ẹgbẹ wa lọ.</t>
  </si>
  <si>
    <t>Fun bi ọdun marun un bayii lawọn eeyan yii ti n dunkoko mawọn ọmọ ẹgbẹ wa, ti wọn si n fi ipa ji ọja wọn ko lọ.</t>
  </si>
  <si>
    <t>Koda, wọn ko da awọn ọja wa ti wọn ji ko lọ sẹyin pada, o si ti di ọdọọdun bayii ti iṣẹlẹ yii ti n waye.'' Ẹgbẹ APTAN ni ẹlẹsin musulumi lọpọ ọmọ ẹgbẹ awọn, eyi to tumọ si pe wọn o le maa dawo fun ajọdun ọdun ibilẹ to jẹ ẹsin abalaye.</t>
  </si>
  <si>
    <t>Amọ, ẹgbẹ naa ko ṣai fidi rẹ mulẹ pe o ṣee ṣe ki Kabiyesi Ooni ma mọ nnkankan nipa awọn eeyan to n wa ji ọja awọn ọmọ ẹgbẹ APTAN ko lọdọọdun.</t>
  </si>
  <si>
    <t>Ẹwẹ, adari eto iroyin ni aafin Ooni Ile Ife, Oloye Moses Olafare, ti sọ fun BBC Yoruba wi pe Kabiyesi Ogunwusi ko ran ẹnikẹni lati lọ maa gbowo lọwọ awọn ontaja fun ọdun Olojo.</t>
  </si>
  <si>
    <t>Oloye Olafare ni Kabiyesi n na owo to to ọdunrun un si irinwo miliọnu naira (N300m-N400m) lọdọọdun lori ọdun Olojo.</t>
  </si>
  <si>
    <t>''Gbogbo owo tawọn ọmọ ẹgbẹ APTAN fẹ da ko le to miliọnu kan naira, eyi ti ko too fun eto iroyin lasan an gan an fun ọdun Olojo.</t>
  </si>
  <si>
    <t>Nigba ti wọn lawọn mọ awọn eeyan yii, ni ṣe lo yẹ ki wọn fi ọlọpaa mu wọn.</t>
  </si>
  <si>
    <t>Igbesẹ to yẹ ki wọn gbe niyẹn dipo awọn oniroyin ti wọn n sọrọ naa fun un,'' Oloye Olafare lo sọ bẹẹ.</t>
  </si>
  <si>
    <t>Fubara, ẹni to pada si ipo Gomina ni ọsẹ to kọja lẹyin ti aarẹ Tinubu kede ilu o faraọ nipinlẹ Rivers fun oṣu mẹfa.</t>
  </si>
  <si>
    <t>Nigba to n ba awọn akọroyin sọrọ lẹyin ipade rẹ pẹlu Aarẹ Tinubu, Fubara ni oun gbe igbesẹ lati wa si ọdọ Aarẹ nitori oun fẹ dupẹ lọwọ rẹ ati lati jẹ ko mọ pe oun ti pada si ipo Gomina ipinlẹ Rivers.</t>
  </si>
  <si>
    <t>"Ẹ mọ pe ikede ilu o faraọ ti pari ni ọjọ Kẹtadinlogun Oṣu Kẹsan an, ti mo si pada si ẹnu iṣẹ ni Ọjọ Kọkandinlogun.</t>
  </si>
  <si>
    <t>Oriṣiiriṣii iṣẹlẹ lo waye laaarin oṣu mẹfa naa, ninu rẹ ni Ajagunfẹyinti Ibok-Ete Ekwe Ibas ti yan awọn eeyan ti yoo bojuto ijọba ibilẹ mẹtalelogun to wa ni Rivers lati ba a ṣiṣẹ.</t>
  </si>
  <si>
    <t>Ninu rẹ ni Fubara ati Wike ti ni awon ti pari ija, iyẹn loṣu Kẹfa ọdun yii, ti wọn ṣepade pẹlu Aarẹ Tinubu l'Abuja.</t>
  </si>
  <si>
    <t>Bii baba ati ọmọ ni Nyesom Wike ati Siminalayi Fubara ri tẹlẹ, ko too di pe ọrọ oṣelu da wahala silẹ laaarin wọn.</t>
  </si>
  <si>
    <t>Àjáàbalẹ̀ ìròyìn BBC News Yorùbá lórí WhatsApp rẹ Darapọ̀ mọ́ wa nibì End of podcast promotion Lamidi Adedibu ati Rasidi Ladoja Ni ipinlẹ Oyo, laarin ọdun 2003 si 2007, ko si ẹni ti ko mọ nipa ija to bẹ silẹ laaarin gomina Oyo nigba naa, Rasidi Ladoja ati agba ọjẹ  oloṣelu nipinlẹ, Lamidi Adedibu.</t>
  </si>
  <si>
    <t>Ifẹ lo kọkọ ba de aarin awọn oloṣelu mejeeji, ko to di pe gbọnmisi omi to waye, ti wọn si kọ ẹyin si ara wọn Lẹyin-ọ-rẹyin, ile igbimọ aṣofin nigba naa ni ki Gomina Rasidi Ladoja lọ rọkun ni ile, ti wọn si kede Adebayo Alao-Akala gẹgẹ bii gomina.</t>
  </si>
  <si>
    <t>Iṣẹlẹ yii de ile ẹjọ, ti wọn si da Gomina Ladoja si ipo.</t>
  </si>
  <si>
    <t>Ọmọ Baba sọrọ nipa aawọ naa, o ni "Ija laarin Sẹnẹtọ Ladoja to jẹ ẹgbọn si mi ati Baba to bi mi, ọmọ ni Sẹnẹtọ Ladọja si baba.</t>
  </si>
  <si>
    <t>"Awọn oloṣelu, wọn mọ iwa ara wọn, ohun to o de sẹlẹ laarin awọn mejeeji, ko ba ti yanju ti Baba ba si wa laye, "Awọn eeyan lo tun da sii, nitori pe wọn a gbọ ti ọdọ ẹgbọn mi Ladoja, wọm a lọ sọ fun baba to bi mi, wọn a gbọ ti baba to bi mi, wọn a lọ sọ fun ẹgbọn mi Ladoja." Ọrọ pọ lẹnu Dokita Abass Adedibu, ẹ wo fọnran yii.</t>
  </si>
  <si>
    <t>Peter Obi ati Willie Obiano Peter Obi ati ẹni to gba ipo gomina lọwọ rẹ, WIllie Obiano ni ajọsepọ nla ṣaaju eto idibo ṣugbọn ọrọ bẹyin yọ lẹyin eto idibo.</t>
  </si>
  <si>
    <t>Obi ati Obiano jẹ akẹgbẹ ni ile ẹkọ Christ the King College, CKC, Onitsha.</t>
  </si>
  <si>
    <t>Ajọsepọ yii laaarin awọn mejeeji pada di ọta meji lẹyin ti Obi kuro ninu ẹgbẹ oṣelu APGA lọ sinu ẹgbẹ oṣelu PDP.</t>
  </si>
  <si>
    <t>Lasiko eto idibo ọdun 2017 , Obi leri pe oun yoo fidi ọmọ Obiano janlẹ.</t>
  </si>
  <si>
    <t>"Mo ma ja fun eto idibo yii, am si gbogbo ara mi ja fun eto idibo yii, ti ma si ri pe ẹgbẹ oṣelu PDP bori eto idibi" o sọ lasiko naa.</t>
  </si>
  <si>
    <t>Ẹwẹ, lẹyin-ọ-rẹyin, Obi fidi janlẹ pẹlu oludije ẹgbẹ oṣelu PDP, Oseloka Obaze.</t>
  </si>
  <si>
    <t>Kwankwaso ati Ganduje Laarin ọdun 1999 si 2015, Rabiu Kwankwaso ati Umar Ganduje jẹ nnkan ti a le pe ni korikosun.</t>
  </si>
  <si>
    <t>Ni ọdun 2003, Ganduje ni igbakeji gomina si Kwankwaso, ati nigba ti wọn jọ padanu ibo.</t>
  </si>
  <si>
    <t>Kwankwaso di minisita fun eto aabo labẹ iṣejọba Olusegun Obasanjo, ti igbakeji rẹ si tẹle lọ si Abuja.</t>
  </si>
  <si>
    <t>Nigba ti Kwankwaso pada ni ọdun 2011, Ganduje tun ni igbakeji rẹ, ti ko si jẹ ohun iyanlẹnu nigba ti APC fun Ganduje ni tikẹẹti fun ipo gomina lọdun 2015 ṣugbọn ija bẹ silẹ lẹyin eto idibo.</t>
  </si>
  <si>
    <t>Lori ija, Emir ilu Kano, Sanusi Lamido padanu ipo gẹgẹ bii Emir, ti Kwankwaso si ni lati kuro ninu ẹgbẹ oṣelu APC.</t>
  </si>
  <si>
    <t>Adams Oshiomhole ati Godwin Obaseki Adams Oshiomhole ko ipa nla lati ri pe Godwin Obaseki di gomina ipinlẹ Edo lẹyin to kuro ni ipo Gomina lẹyin ọdun.</t>
  </si>
  <si>
    <t>Obaseki  ṣiṣẹ labẹ Oshiomhole gẹgẹ bii alaga to n risi eto iṣuna ipinlẹ Edo, Edo State Economic Team.</t>
  </si>
  <si>
    <t>Pẹlu bii wọn ti ṣe ni ajọsepọ to lerinrin ṣugbọn ija to waye laaarin wọn kọja nnkan ti a fi ẹnu wi.</t>
  </si>
  <si>
    <t>Oshiomole lo agbara rẹ gẹgẹ bii alaga ẹgbẹ oṣelu APC lasiko naa lati ma fun Obaseki ni tikẹẹti lati gbe apoti ibo fun saa keji  ṣugbọn Obaseki morile ẹgbẹ oṣelu PDP, to si tun bori eto idibo naa.</t>
  </si>
  <si>
    <t>Tinubu ati Ambode Ni ọdun 2014, Akinwunmi Ambode gbe apoti ibo gomina ipinlẹ Eko ni ọdun 2015, ti Aarẹ orilẹede Naijiria bayii, Bola Tinubu si fun ni iwuri.</t>
  </si>
  <si>
    <t>Fun bi ọdun mẹta lẹyin eto idibo, gbogbo nnkan lọ pẹlu alaafia laaarin Tinubu ati Ambode.</t>
  </si>
  <si>
    <t>O ku ọsẹ diẹ si eto idibo abẹle ninu ẹgbẹ oṣelu APC nipinlẹ Eko, ni itan yii pada fun Ambode.</t>
  </si>
  <si>
    <t>Gbogbo agbara rẹ lati ja pada lo ja si pabo.</t>
  </si>
  <si>
    <t>Ambode da lori ọrọ naa, to si padanu eto idibo abẹle ẹgbẹ oṣelu APC nipinlẹ Eko sọwọ Babajide Sanwo-Olu.</t>
  </si>
  <si>
    <t>Ninu atẹjade ti olubadamọran agba fun aarẹ lori iroyin, Bayo Onanuga, buwọlu fun awọn akọroyin, o ni aarẹ yoo lo ọjọ mẹwaa fun isinmi naa, ti yoo si lọ lati orilẹede France si Ilẹ United Kingdom.</t>
  </si>
  <si>
    <t>"Aarẹ Bola Ahmed Tinubu yoo kuro ni ilu Abuja ni Ọjọbọ, Ọjọ Kẹrin, oṣu Kẹsan an ọdun 2025 fun isinmi ni Yuroopu , "Ọjọ mẹwaa ni yoo fi ṣe isinmi yii.</t>
  </si>
  <si>
    <t>Aarẹ yoo lo asiko yii ni ile France ati UK ko to pada si orilẹede Naijiria." Aarẹ Tinubu ma n rin irinajo daada, ti eyi si jẹ ọkan ninu awọn irinajo to ma n lọ lati igba to ti bọ sipo ni oṣu karun un ọdun 2023.</t>
  </si>
  <si>
    <t>Isinmi ọlọjọ mẹwaa yii waye lẹyin ti aarẹ ti kọkọ gba ọkan ni oṣu kẹwaa ọdun 2024.</t>
  </si>
  <si>
    <t>Gẹgẹ bii Punch ṣe gbe sita, laarin oṣu mẹtadinlogun akọkọ ti aarẹ Tinubu lo lori oye,  irinajo mọkanlelogoji loun ati igbakeji ti rin kaakiri orilẹede mẹrindinlọgbọn, ti wọn si lo ọgọsan ọjọ lapapọ loke okun.</t>
  </si>
  <si>
    <t>Eyi ti o lọ gbeyin ni orilẹede Brazil ni oṣu kẹjọ ọdun 2025, nibi to ti lọ pade Aarẹ Luiz Inacio Lula da Sliva.</t>
  </si>
  <si>
    <t>Aarẹ Tinubu ti lọ awọn orilẹede bii United States, France, di United Kingdom, China, South Africa, Germany, Tanzania, ati  United Arab Emirates.</t>
  </si>
  <si>
    <t>Ni oṣu kinni ọdun 2025, Tinubu lọ fun ipade awọn olori orilẹede Afrika ni Dar es Salaam, lorilẹede Tanzania.</t>
  </si>
  <si>
    <t>Ni oṣu Karun un ni ọdun 2025, o lọ si Rome, lorilẹede Italy, fun ayẹyẹ iyansipo Pope Leo XIV.</t>
  </si>
  <si>
    <t>Ni oṣu kẹfa si ikeje ni ọdun 2025, aarẹ lọ si  Saint Lucia fun imunadoko ajọsepọ pẹlu awọn orilẹede Caribbean.</t>
  </si>
  <si>
    <t>Bakan naa ni oṣu kẹfa si ikeje ni ọdun 2025,Aarẹ tun gbera lọ si orilẹede Brazil fun imunadoko ajọsepọ lori eto ọgbin.</t>
  </si>
  <si>
    <t>Ni oṣu kẹjọ, Aarẹ wa nibi ayẹyẹ iburawọlw Aarẹ John Dramani Mahama lorilẹede Ghana.</t>
  </si>
  <si>
    <t>Ni oṣu kẹjọ yii naa, Aarẹ lọ si UAE, to si gba ibẹ lọ si Japan.</t>
  </si>
  <si>
    <t>Aarẹ tun pada lọ si orilẹede Brazil fun igbakeji ni oṣu kẹjọ.</t>
  </si>
  <si>
    <t>Awọn ọmọ Naijiria kan gbagbọ pe Aarẹ Bola Tinubu ko ni pẹ di aarẹ orilẹede Naijiria to rin irinajo ju awọn aarẹ yooku ti wọn ti jẹ ṣaaju.</t>
  </si>
  <si>
    <t>Ṣugbọn ẹ jẹ ka fi wo awọn irinajo awọn aarẹ bi Goodluck Jonathan, oloogbe Muhammadu Buhari ati Olusegun Obasanjo.</t>
  </si>
  <si>
    <t>Ileeṣẹ iroyin Dailypost, Aarẹ Goodluck Jonathan rin irinajo daada, to si ni lati ṣe ileri pe oun yoo dinku.</t>
  </si>
  <si>
    <t>Ninu iwadii wọn, Goodluck Jonathan rin irinajo o kere ju ogun igba laarin oṣu mọkanla akọkọ rẹ ni ọdun 2012.</t>
  </si>
  <si>
    <t>Lasiko iṣejọba Aarẹ Buhari, yatọ si awọn irinajo fun itọju, o rin irinajo ni mẹtalelaadọta gẹgẹ bii ọdun 2023 ṣe gbe sita.</t>
  </si>
  <si>
    <t>Aarẹ nigba kan ri lorilẹede Naijiria, Olusegun Obasanjo rin irinajọ fun igba 97 lasiko iṣejọba laarin ọdun 1999 si 2007.</t>
  </si>
  <si>
    <t>Ile ẹjọ giga apapọ niluu Abuja ni igbẹjọ naa ti n waye.</t>
  </si>
  <si>
    <t>Sẹnetọ Natasha to n ṣoju aringbungbun ipinlẹ Kogi ni ile igbimọ aṣofin agba Naijiria n koju Yahaya Bello ati Akpabio lori ẹsun iwa ọdaran ori ayelujara.</t>
  </si>
  <si>
    <t>Gẹgẹ ohun ti oju wa to ni ile ẹjọ, Aṣofin Natasha wa si ile ẹjọ pẹlu ọkọ rẹ.</t>
  </si>
  <si>
    <t>Ọfiisi agbẹjọro agba lorilẹede NAijiria , OAGF ati ileeṣẹ to n risi ọrọ idajọ lo n pẹjọ naa lorukọ olupẹjọ fun ifisun ẹsun mẹfa ti wọn fi n kan an lori iwa ibajẹ.</t>
  </si>
  <si>
    <t>Lori ẹsun ibaorujọ ẹni jẹ laaarin Natasha, Bello ati Akpabio, lara ẹsun ti wọn ka si Natasha ni pe ọ pa irọ mọ aarẹ ile ẹjọ ati Gomina ana eyi to da alaafia ilu laamu.</t>
  </si>
  <si>
    <t>Ẹwẹ ni oṣu kẹfa ọdun 2025, Amofin Natasha sọ fun ile ẹjọ pe oun ko jẹbi ẹsun mẹta ti wọn ka si lẹsẹ.</t>
  </si>
  <si>
    <t>Ẹsun mẹta ti ọfisi agba fun agbẹjọro orilẹede Naijiria ka si lẹsẹ ni pe o pa irọ mọ Aarẹ ile igbimọ aṣofin pe o n gbimọ pọ pẹlu Gomina ana nipinlẹ Kogi, Bello lati ṣekupa a.</t>
  </si>
  <si>
    <t>Lasko igbẹjọ naa, ile ẹjọ gba baali fun Natasha pẹlu aadọta milọnu ati oniduro kan.</t>
  </si>
  <si>
    <t>Bakan naa ni oṣu keju, Ile ẹjọ giga paṣẹ pe ki wọn da Sẹnetọ to n ṣoju aringbungbun ipinlẹ Kogi, Natasha Akpoti-Uduaghan, pada sẹnu iṣẹ rẹ lẹyin ti ile aṣofin naa ni ko lo rọọkun nile fun oṣu mẹfa gbako.</t>
  </si>
  <si>
    <t>Nigba to n gbe idajọ naa kalẹ, Onidajọ Binta Nyako sọ pe oṣu mẹfa ti wọn ni ko lọ rọọkun nile ti pọju Nyako ni gẹgẹ bii abala 14(2) ofin to sọ nipa anfaani awọn aṣofin ṣe sọ, ijiya ti wọn fun aṣofin naa ko tọ ọ.</t>
  </si>
  <si>
    <t>Ninu oṣu Keji ọdun 2025 ni ede aiyede ṣẹlẹ ni ile aṣofin agba Naijiria, laarin Aarẹ ile naa, Sẹnetọ Godswill Akpabio ati Sẹnetọ Natasha Akpoti-Uduaghan.</t>
  </si>
  <si>
    <t>Akpabio paṣẹ lasiko ti ijiroro n lọ pe, ki awọn oṣiṣẹ alaabo gbe e jade lẹyin ti obinrin naa kọ lati joko ni aaye tuntun ti wọn fun, to si sọ awọn ọrọ ibinu.</t>
  </si>
  <si>
    <t>Eyi ni ohun ti ijọba apapọ, labẹ idari Aarẹ Bola Tinubu, tori rẹ ṣalaye fun awọn to n gbe e kiri pe ijọba yii n ro ile apa kan, dapa kan si, ati pe apa Ariwa Naijiria ko ri nnkan pọnla labẹ iṣakoso yii.</t>
  </si>
  <si>
    <t>Ọjọ Aiku, ọjọ kọkanlelogun oṣu Kẹjọ ni atẹjade kan ti ileeṣẹ Aarẹ Naijiria wa, Minisita eto iroyin ati itaniji, Mohammed Idris lo si fi lede.</t>
  </si>
  <si>
    <t>Ninu atẹjade naa ni wọn ti ṣalaye pe akoyawọ ati ṣiṣe deede ni Tinubu n lo lati ṣe ohun amayedẹrun si ẹkun mẹfa ti Naijiria pin si.</t>
  </si>
  <si>
    <t>Wọn fi kun un pe ootọ inu ati bi eeyan ba ṣe kunju oṣuwọn to lo si n lo lati yan awọn eeyan sipo ijọba.</t>
  </si>
  <si>
    <t>"Bi iṣẹ oju ọna ṣe n lọ ni Guusu, bẹẹ naa ni marosẹ Badagry–Sokoto n lọ lọwọ, to gba apa Ariwa julọ.</t>
  </si>
  <si>
    <t>"Ilana pinpin ire yii naa ni ijọba si n lo kaakiri fun awọn iṣẹ amayedẹrun to n waye ni awọn ẹkun Naijiria.</t>
  </si>
  <si>
    <t>Minisita eto iroyin naa tẹsiwaju ninu alaye rẹ, pe owo to to aadọjọ biliọnu naira (150b) ni ijọba Tinubu ti ya sọtọ lati ṣe oju ọna irin reluwee ipinlẹ Kano.</t>
  </si>
  <si>
    <t>O ni ọgọrun-un kan biliọnu (100bn) ni wọn si fẹẹ fi ṣe iru rẹ ni Kaduna.</t>
  </si>
  <si>
    <t>Iru rẹ ti wọn n ṣe nipinlẹ Eko ati Ogun naa wa lara iṣẹ ijọba Tinubu bo ṣe wi, eyi ti yoo gbe Naijiria goke agba, ti iṣẹ to le ni ẹgbẹrun lọna igba ati aadọta (250,000) yoo si wa fun awọn eeyan lati ṣe kaakiri Naijiria.</t>
  </si>
  <si>
    <t>" A tun n gbero lati gbe ọna ọkọ oju irin apa Ila Oorun Naijiria lati Port Harcourt si Maiduguri dide.</t>
  </si>
  <si>
    <t>"Lafikun, o le ni ẹgbẹrun kan ileewosan alabọọde ti iṣakoso Aarẹ Tinubu ti gbe dide kaakiri Naijiria, to n fi han pe a ko ko iyan ilera awọn araalu kere." Ileeṣẹ Aarẹ Tinubu sọ pe ko ruju rara, nitori akọsilẹ fi han pe apa Ariwa-Iwọ-Oorun (North-West) n ri nnkan gba julọ.</t>
  </si>
  <si>
    <t>• North West (Ariwa-Iwọ-Oorun) : ₦5.97 trillion (o le ni ida ogoji iṣẹ to n lọ nibẹ ti ijọba ti buwọ lu (over 40% of approvals) • South South (Guusu-Guusu): ₦2.41 trillion.</t>
  </si>
  <si>
    <t>Yatọ si ọna ọkọ ilẹ ati ti oju irin, atẹjade yii sọ pe iṣẹ ti bẹrẹ lori igbedide ẹka agbara 255MW  to wa ni Kaduna, ibudo afẹfẹ idana AKK, wọn si tun n gbe kanga mẹta to jẹ ti epo rọbi ni Kolmani, ipinlẹ Bauchi ati Gombe.</t>
  </si>
  <si>
    <t>Ilana pin in ire ko dọgba bii ti Ọlọfa mọjọ ni wọn ni Tinubu n lo, ati pe ki awọn ọmọ Naijiria fọkan balẹ.</t>
  </si>
  <si>
    <t>Ileeṣẹ Aarẹ ni ko sẹni ti ko ni I tọwo ninu ọbẹ idagbasoke ti Tinubu n se fun Naijria lọwọ, wọn ni suuru to lọjọ ni.</t>
  </si>
  <si>
    <t>Ko din ni ijọba ibilẹ ogun (20) ti ẹgbẹ oṣelu APC ti bori bayii ninu idibo ijọba ibilẹ to waye nipinlẹ Rivers ni Satide, ọgbọnjọ oṣu Kẹjọ ọdun 2025 yii.</t>
  </si>
  <si>
    <t>Ẹgbẹ oṣelu alatako ti i ṣe PDP ko ri mu ju ijọba ibilẹ mẹta pere lọ.</t>
  </si>
  <si>
    <t>Awọn ijọba ibilẹ ti PDP ri mu naa ni Port Harcourt, Obio Akpor ati Ogba/Egbema/Ndoni.</t>
  </si>
  <si>
    <t>Eyi ni igba akọkọ ninu itan ipinlẹ Rivers, ti APC yoo gba gbogbo agbegbe mọ wọn lọwọ bi eyi.</t>
  </si>
  <si>
    <t>Bakan naa ni APC tun palẹmọ ibo sipo kansilọ nijọba ibilẹ ogun, wọn fi mẹta pere silẹ fun PDP.</t>
  </si>
  <si>
    <t>Ọpọ araalu ni ko jade dibo ọhun, ṣugbọn ibo naa fi wọn lọkan balẹ pe ijọba pajawiri to n lọ ni Rivers ko ni i pẹẹ dopin, lẹyin ti Aarẹ Tinubu kede rẹ lọjọ kejidinlogun, oṣu Kẹta ọdun 2025.</t>
  </si>
  <si>
    <t>Ọgagun Ibas to mojuto idibo naa, ṣabẹwo si awọn ibudo idibo bii  ileeṣẹ ijọba Emohua Council Secretariat, agbegbe Okporowo/Ogbakiri, Abule Igbu Ogbo ati ilu Ogbunuabali ni Port Harcourt.</t>
  </si>
  <si>
    <t>O ni: "Inu mi dun pẹlu ohun ti mo ri lonii, idibo naa lọ ni alaafia.</t>
  </si>
  <si>
    <t>Awọn oludibo ati awọn oṣiṣẹ eleto idibo ṣe bo ṣe yẹ." BBC News Yoruba yoo maa mu abajade iroyin ibo naa bo ba ṣe n lọ.</t>
  </si>
  <si>
    <t>Ọkan lara ọmọ ile igbimọ aṣofin ipinlẹ Ọyọ to n ṣoju ẹkun idibo Iwọ-oorun Ṣaki, to tun jẹ aṣoju ẹgbẹ oṣelu APC, Họnọrebu Ibraheem Shittu lo kọkọ pariwo sita lori ayelujara Facebook wi pe, oun ko si ni ibi ti ile igbimọ aṣofin ipinlẹ Ọyọ ti buwọlu ẹyawọ ọọdunrun biliọnu Naira fun Gomina Ṣeyi Makinde.</t>
  </si>
  <si>
    <t>Shittu ni iyalẹnu nla ni igbesẹ naa jẹ fun oun nitori pe ile igbimọ aṣofin ipinlẹ Ọyọ wa l'ẹnu isinmi ọlọsẹ mẹfa nigba ti oun gbọ iroyin nipa ẹyawo naa.</t>
  </si>
  <si>
    <t>O fi kun ọrọ rẹ wi pe ipade pajawiri kan ni awọn alakoso ile igbimọ aṣofin ipinlẹ Ọyọ sare ṣe ki wọn le fun Makinde ni anfaani lati ya owo naa lai fi ọrọ to awọn ọmọ ile igbimọ aṣofin to ku leti.</t>
  </si>
  <si>
    <t>Ibeere ti Họnọrebu yii wa n beere ni pe, "ki lo de ti ijọba ipinlẹ Ọyọ tun fẹ lọ ya owo nigba to jẹ wi pe aleekun ti ba iye owo ti ijọba apapọ n fun un pẹlu ilọpo ẹẹdẹgbẹta?".</t>
  </si>
  <si>
    <t>Lẹyin ọrọ ti Họnọrebu Shittu fi lede lori Facebook ni ọkanojọkan ariwisi ti n waye lori ọrọ naa.</t>
  </si>
  <si>
    <t>Àjáàbalẹ̀ ìròyìn BBC News Yorùbá lórí WhatsApp rẹ Darapọ̀ mọ́ wa nibì End of podcast promotion Eyii lo mu ki ile igbimọ aṣofin ipinlẹ Ọyọ fesi ninu atẹjade kan ti adari ọmọ ẹgbẹ oṣelu to pọ ju nile igbimọ aṣofin naa, Hon.</t>
  </si>
  <si>
    <t>Sanjo Adedoyin ati alaga igbimọ ile to n ri si ikede, iroyin ati ọrọ to niiṣẹ pẹlu ẹrọ igbalode, Hon.</t>
  </si>
  <si>
    <t>Waheed Akintayo (Ilumoka) buwọlu, ti wọn si fi ranṣẹ si awọn akọroyin.</t>
  </si>
  <si>
    <t>Atẹjade naa tọka rẹ wi pe ọrọ ti Họnọrẹbu Shittu fi lede jẹ ọrọ to n ṣini lọna ti o si tun fi han wi pe Họnọrebu naa ko mọ ojuṣe rẹ.</t>
  </si>
  <si>
    <t>Bakan naa ni wọn sọ siwaju sii wi pe gbogbo ọmọ ile igbimọ aṣofin naa ni awọn sọ fun wi pe ipade pajawiri kan yoo waye lọjọ Iṣẹgun, ọjọ kọkandinlogun oṣu Kẹjọ ọdun yii.</t>
  </si>
  <si>
    <t>O ni awọn fi ikede sita ni oju opo Whatsapp ti ile igbimọ aṣofin ipinlẹ Ọyọ n lo.</t>
  </si>
  <si>
    <t>Bakan naa ni wọn ya aworan atẹjiṣẹ ti wọn fi ranṣẹ si awọn ọmọ ile igbimọ aṣofin ipinlẹ Ọyọ lori ipade naa.</t>
  </si>
  <si>
    <t>Ile igbimọ aṣofin ipinlẹ Ọyọ tun ṣe alaye siwaju sii wi pe Họnọrebu Shittu to n fi ẹsun kan yii kii saba kopa nibi awọn ipade ti ile igbimọ aṣofin naa ba pe pẹlu alaye wi pe ida ogun pere ni iwọn bi o ṣe n kopa nibi awọn ipade ile igbimọ aṣofin ipinlẹ Ọyọ.</t>
  </si>
  <si>
    <t>Wọn ni iwọsi nla gbaa ni isansa to n ṣe lẹnu iṣẹ rẹ n ko ba awọn eeyan ilu Ṣaki ti o n ṣoju nile igbimọ aṣofin.</t>
  </si>
  <si>
    <t>Alaye ti ile igbimọ aṣofin ipinlẹ Ọyọ ṣe ninu atẹjade ti wọn fi ranṣe ni pe biliọnu mọkandinlaadọjọ Naira(N149Bn) ni ijọba ipinlẹ Ọyọ fẹ fi san lara gbesẹ ti wọn jẹ ile ifowopamọ UBA(United Bank for Africa).</t>
  </si>
  <si>
    <t>Biliọnu mọkanlelaadọjọ(N151Bn) to ṣẹku yoo jẹ lilo fun ipese awọn ohun elo amayedẹrun ati lati san owo iṣẹ fun awọn agbaṣẹṣe ti ijọba ipinlẹ Ọyọ gbe iṣẹ fun jakejado ipinlẹ Ọyọ.</t>
  </si>
  <si>
    <t>Ninu oṣu kẹjọ ọdun 2021, ile igbimọ aṣofin buwọlu ẹyawo biliọnu mẹfa Naira(N6Bn) ti Gomina Makinde gba lati ṣe awọn akanṣe iṣẹ ilu.</t>
  </si>
  <si>
    <t>Ninu oṣu Kẹwaa ọdun 2021 bakan naa, Makinde ya biliọnu mejidinlogun Naira mii.</t>
  </si>
  <si>
    <t>Ile igbimọ aṣofin ipinlẹ Ọyọ tun buwọlu ẹyawo aadọjọ biliọnu Naira(N150Bn) fun Gomina Makinde ninu oṣu Kinni ọdun 2024.</t>
  </si>
  <si>
    <t>Laarin ọdun 2025 taa wa yii, ile igbimọ aṣofin ipinlẹ Ọyọ ti buwọlu ẹyawo igba biliọnu Naira(N200Bn) ninu oṣu Kẹta, wọn tun fi ontẹ lu ẹyawo aadọfa biliọnu Naira(N110Bn) ninu oṣu Keje, ko to di pe wọn pe ipade pajawiri lati buwọlu ẹyawo ọọdunrun Billiọnu Naira(N300Bn) ninu oṣu kẹjọ ọdun taa wa yii.</t>
  </si>
  <si>
    <t>Ọja naa ti ọpọ awọn oniṣowo ibẹ wa lati Ariwa Naijiria, sọ pe awọn dukia to le ni ẹgbẹlẹgbẹ biliọnu naira lo ṣofo nibẹ.</t>
  </si>
  <si>
    <t>Awọn oniṣowo naa tun fẹsun kan awọn kan lara wọn pe wọn pawọpọ pẹlu ijọba Eko lati wo ọja ọhun lẹyin ti wọn ti kọkọ fẹnuko lati fọwọsowọpọ pẹlu ijọba fun atunṣe ọja naa.</t>
  </si>
  <si>
    <t>Wọn ni ijọba Eko gbodọ san owo gba mabinu fun awọn lati lọ fi wa owo ṣe lagbegbe mii.</t>
  </si>
  <si>
    <t>Gẹgẹ bii ohun ti wọn sọ, wọn ko ṣẹ ijọba bẹẹni wọn ko wu iwa ọdaran kankan ki ijọba to ṣa deede bẹrẹ si n wo ọja naa, nitori naa o gbọdọ fun awọn lowo gba, mabinu.</t>
  </si>
  <si>
    <t>"Gbogbo ibi ti a ti n ta awọn nnkan bii irẹsi, ẹwa, agbado ati awọn nnkan mii ni wọn da wo.</t>
  </si>
  <si>
    <t>"Wọn wo ile alaja mẹta ti a n ko ẹru si, to fi mọ ile alaja meji mii.</t>
  </si>
  <si>
    <t>"A beere fun ẹtọ wa latari pe a ki n ṣe alejo nibi, awa atawọn obi wa si ti n gbe nibi o ti le ni aadọta ọdun ṣeyin." Ọkan lara awọn oniṣoro ti ọrọ naa kan, Bala Kofar Sabuwa, sọ pe ijọba fi awọn pe awọn alainilelori to n gbe lẹba ọna, o si wo awọn ṣọọbu awọn.</t>
  </si>
  <si>
    <t>Sabuwa ṣalaye pe "Ọrọ yii ti da rogbodiyan silẹ nibi, awọn kọlọrọsi ti ya bo ṣọọbu awọn eeyan wa ti wọn si n ji awọn ọja ko nibẹ latari igbesẹ ijọba ọhun." Ọjọ kẹtadinlogun, oṣu Kẹjọ, ọdun 2025 ni ijọba Eko bẹrẹ si n wo ọja Alaba Rago titi di ogunjọ oṣu kan naa.</t>
  </si>
  <si>
    <t>Lati ọdun to kọja ni ijọba Eko ti fẹ wo ọja naa amọ olori awọn Hausa nipinlẹ naa, Aminu Yaro Dogara da si ọrọ ọhun.</t>
  </si>
  <si>
    <t>Ọja naa jẹ ọkan pataki ti wọn ti n ta awọn ohun jijẹ atawọn ohun ọsin lati ariwa Naiijiria.</t>
  </si>
  <si>
    <t>Ijọba Eko ti ni eredi wiwo ọja naa ko ṣẹyin igbesẹ lati tun un kọ ko le ba igba mu.</t>
  </si>
  <si>
    <t>PDP to jẹ ẹgbẹ alatako ni Naijiria kede ọrọ yii nibi ipade igbimọ alaṣẹ ẹgbẹ naa, NEC, to waye niluu Abuja lọjọ Aje ọjọ kẹẹdọgbọn, oṣu Kẹjọ.</t>
  </si>
  <si>
    <t>Nibi ipade yii kan naa ti i ṣe ikejilelọgọrun un iru rẹ ni ẹgbẹ ọhun tun ti kede Umar Iliya Damagum gẹgẹ bii alaga ẹgbẹ naa.</t>
  </si>
  <si>
    <t>Ọgbẹni Damagum to ti wa nipo adele alaga gbogbogbo fun bi ọdun kan bayii ti di alaga ti gbogbo ile gba wọle ṣaaju ipejọpọ nla ẹgbẹ PDP ti yoo waye niluu Ibadan ipinlẹ Oyo, lọjọ kẹẹdogun ati ikẹrindinlogun oṣu Kọkanla ọdun yii.</t>
  </si>
  <si>
    <t>PDP ṣalaye ninu atẹjade kan ti wọn fi sita pe niwọn igba ti ipo alaga ti lọ si ẹkun ariwa, ẹkun guusu ni oludije sipo aarẹ fun eto idibo 2027 yoo ti wa.</t>
  </si>
  <si>
    <t>Igbimọ alaṣẹ PDP dupẹ lọwọ igbimọ awọn gomina, igbimọ adari, awọn ọmọ ile igbimọ aṣofin agba l'Abuja ati gbogbo ọmọ ẹgbẹ fun ipa ti wọn ko lati ri pe ipade NEC ti wọn ṣe niluu Abuja lọjọ Aje kẹsẹ jari.</t>
  </si>
  <si>
    <t>PDP tun gba abọ igbimọ to n ṣiṣẹ lori bi ipejọpọ ẹgbẹ naa ti yoo waye loṣu Kọkanla to n bọ yoo ṣe lọ ni irọwọ-rọsẹ wọle.</t>
  </si>
  <si>
    <t>Nnkan mii tun ni pe ẹgbẹ oṣelu PDP ni gbogbo oloye ẹgbẹ lati ẹkun ariwa to fi de guusu yoo maa tẹsiwaju pẹlu ipo wọn.</t>
  </si>
  <si>
    <t>PDP ko ṣai fẹsun kan ẹgbẹ oṣelu APC to n ṣe ijọba lọwọ wi pe wọn fẹ fi tipa tipa ati eeru sọ orilẹede Naijiria di ẹlẹgbẹ oṣelu kan.</t>
  </si>
  <si>
    <t>PDP ni eyi jẹyọ nibi atundi ibo waye kaakiri orilẹede Naijiria laipẹ yii.</t>
  </si>
  <si>
    <t>Ẹgbẹ oṣelu PDP ni gbogbo igbesẹ ti APC n gbe lo tako ilana eto iṣejọba awarawa.</t>
  </si>
  <si>
    <t>Àjáàbalẹ̀ ìròyìn BBC News Yorùbá lórí WhatsApp rẹ Darapọ̀ mọ́ wa nibì End of podcast promotion Awuyewuye ti wa lagbo oṣelu ni Naijiria lori ọrọ ibi ti oludije sipo aarẹ yoo ti wa fun eto idibo ọdun 2027.</t>
  </si>
  <si>
    <t>Lọwọ yii, ẹkun guusu ni Aarẹ Bola Tinubu to wa lori aleefa lasiko yii ti wa.</t>
  </si>
  <si>
    <t>Bakan naa, APC to jẹ ẹgbẹ oṣelu aarẹ ti fontẹ lu u gẹgẹ bi oludije sipo aarẹ fẹgbẹ naa fun ibo aarẹ ọdun 2027.</t>
  </si>
  <si>
    <t>Ti ẹ o ba gbagbe, ede-ai-yede bẹ silẹ nigba ti PDP kede Igbakeji aarẹ tẹlẹ, Atiku Abubakar, gẹgẹ bi oludije sipo aarẹ ẹgbẹ naa fun ibo aarẹ ọdun 2023.</t>
  </si>
  <si>
    <t>Igbesẹ naa ko dun mọ Gomina ipinlẹ Rivers nigba naa, Nyesom Wike, ninu, eyi lo si jẹ ki o kede atilẹyin rẹ fun Tinubu ninu ibo aarẹ ọdun 2023.</t>
  </si>
  <si>
    <t>Ni bayii ti PDP ko tii yan oludije sipo aarẹ ẹgbẹ naa fun eto idibo 2027, Wike, to jẹ minisita Abuja bayii kilọ fun PDP loṣu Karun un to kọja pe ẹgbẹ naa yoo kuna ti wọn ba mu oludije sipo aarẹ lati ẹkun ariwa.</t>
  </si>
  <si>
    <t>Wike sọ pe ko ni mọgbọn dani bi ẹgbẹ alatako PDP ba lọ mu oludije sipo aarẹ lati apa ariwa nigba ti Aarẹ Tinubu ti yoo jẹ oludije fun APC wa lati ẹkun guusu.</t>
  </si>
  <si>
    <t>Ọjọ Abamẹta to kọja yii ni atundi ibo waye ni awọn ipinlẹ mẹtala ati ẹkun idibo mẹrindinlogun lorilẹede Naijiria.</t>
  </si>
  <si>
    <t>Bo si ti lẹ jẹ pe ibo naa ti pari, awuyewuye to ti ẹyin rẹ yọ ko ti i sinmi.</t>
  </si>
  <si>
    <t>Ninu esi ibo ti ajọ eleto idibo ilẹ wa, INEC, fi sita, o fi han pe APC bori ibo ni ẹkun idibo mejila, APGA bori ni ẹkun meji, PDP yege ni ẹkun kan, nigba ti NNPP naa yege ni ẹkun kan ṣoṣo.</t>
  </si>
  <si>
    <t>Ṣugbọn o fẹrẹ jẹ pe kaakiri ipinlẹ ni awọn ẹgbẹ alatako ti bẹrẹ si i fi ẹhonu han lori esi idibo yii.</t>
  </si>
  <si>
    <t>Ohun ti wọn n sọ ni pe APC lo agbara rẹ lati dena awọn ẹgbẹ yoku, wọn ni wọn lo ipa ninu ijọba awarawa ni wọn fi yege.</t>
  </si>
  <si>
    <t>Ọtunba Olufemi Soluade ni Alaga ẹgbẹ oṣelu ADC nipinlẹ Ogun.</t>
  </si>
  <si>
    <t>Àjáàbalẹ̀ ìròyìn BBC News Yorùbá lórí WhatsApp rẹ Darapọ̀ mọ́ wa nibì End of podcast promotion Ẹgbẹ rẹ naa lẹtọọ lati kopa ninu atundi ibo to waye fun ẹkun idibo Remo, Ikenne ati Sagamu lọjọ Abamẹta ọhun.</t>
  </si>
  <si>
    <t>Ṣugbọn gẹgẹ bi alaye ti Otunba Soluade ṣe fun BBC News Yoruba laaarọ ọjọ Aje, o ni oludijẹ fun ADC ko dibo.</t>
  </si>
  <si>
    <t>O ni APC lo agbara se e mọle ni.</t>
  </si>
  <si>
    <t>"A ti dibo, ibo ti wa, o ti lọ, ṣugbọn ko lọ daadaa rara.</t>
  </si>
  <si>
    <t>"Ninu ijọba awarawa ti a ni a n ṣe yii, ko yẹ ko ri bẹẹ.</t>
  </si>
  <si>
    <t>Ko yẹ ko jẹ ẹgbẹ kan lo maa sọ pe ki awọn ẹgbẹ to ku ma ni alaafia, ti yoo di pe awọn ọmọ ẹgbẹ ko ni i le dibo.</t>
  </si>
  <si>
    <t>" A ti kọ lẹta ṣaaju idibo pe a maa dibo, a ka gbogbo ibi ti a maa de.</t>
  </si>
  <si>
    <t>A kọ lẹta si kọmiṣanna ọlọpaa Ogun, wọn fi ranṣẹ si ti Remo, wọn ti n ṣiṣẹ ẹ lori ẹ ki wọn too sọ fun wọn pe ki wọn ma ṣe lẹta wa.</t>
  </si>
  <si>
    <t>"Mi o ro pe ẹgbẹ oṣelu kankan wa to buru bii APC, niṣe ni wọn n fi ọkọ akọtami le wa lọjọ ibo.</t>
  </si>
  <si>
    <t>"Oludije ẹgbẹ oṣelu wa, Barrister Seyi Solomon Oso, ko le dibo, niṣe ni wọn di i mọle, wọn gbe mọto di ile rẹ pa, wọn ko jẹ ko jade dibo.</t>
  </si>
  <si>
    <t>"Awon aworan ọta ibọn to wa niwaju ilẹ rẹ wa, mo le fi ranṣẹ si yin kẹ ẹ ri i .</t>
  </si>
  <si>
    <t>"Bakan naa ni wọn gba gbogbo aga wa to wa nibi ti a ti fẹẹ dibo, iyẹn lo ku ọla ti a maa dibo.</t>
  </si>
  <si>
    <t>"Ọlọpaa to to igba (200) ni wọn ko wa, wọn ni nnkan kan ko gbọdọ ṣẹlẹ nibudo ibo wa.</t>
  </si>
  <si>
    <t>Wọn ni APC nikan ni ibẹ wa fun, agidi la fi raye gba kọja.</t>
  </si>
  <si>
    <t>"Ṣe ibo ni wọn di ni ọjọ Satide yẹn?</t>
  </si>
  <si>
    <t>Ṣe ijọba awarawa la n ṣe yii abi a n tan ara wa?</t>
  </si>
  <si>
    <t>"Awọn to n dari wa yii ko ni igbagbọ ninu ijọba awarawa,  apaṣẹ-waa ni wọn.</t>
  </si>
  <si>
    <t>"Ohun ti wọn fẹ ko ju ki wọn gba agbara ki wọn si maa ṣe nnkan to wu wọn, paapaa nipa owo araalu.</t>
  </si>
  <si>
    <t>"Ohun t imo ri si i niyẹn, awon eleyii ki i ṣe oloṣelu, apaṣẹ- waa ni wọn.</t>
  </si>
  <si>
    <t>"Ki odidi gomina maa lọ sibi ipolongo ibo, ko maa ni ,'ṣe ẹ mọ pe emi ni olori alaabo nipinlẹ yii, nnkan to ba wu yin ni ke ẹ ṣe ni Satide, tẹ ẹ ba ri won kẹ ẹ na wọn pa." "Mo fi eti ara mi gbọ eyi ni ipolongo ibo ni Ikenne, lọjọ kẹtala, oṣu Kẹjọ.</t>
  </si>
  <si>
    <t>Mo gbọ ọ.</t>
  </si>
  <si>
    <t>"Kawọn eeyan maa dibo, kẹ ẹ maa na wọn, pe ti wọn ko ba ti le dibo fun APC, ki wọn maa lọ silee wọn.</t>
  </si>
  <si>
    <t>"Ati ejẹnti, a na fẹẹ ku, nnkan to ṣẹlẹ ni Satide niyẹn, ni Isara, Iperu, Sagamu, nnkan to ṣẹlẹ niyẹn, teeyan ba maa sọ otitọ.</t>
  </si>
  <si>
    <t>"Mo le fi fọnran ohùn awọn ti wọn na nibudo ibo ranṣẹ si yin, awọn obinrin ati ọkunrin ti wọn n ke irora.Ṣe ibo wa?</t>
  </si>
  <si>
    <t>niyẹn.</t>
  </si>
  <si>
    <t>"Bi wọn ba fẹẹ ṣe e daadaa, ẹ jẹ ki wọn ko iwe idibo ti wọn ka yẹn jade, ki wọn ṣe ayẹwo finni-finni si i, awọn ọmọ ita lo tẹka sibẹ, ki i ṣe awọn oludibo to fẹẹ dibo.</t>
  </si>
  <si>
    <t>"Ṣugbọn ẹ maa ri wọn, wọn a maa jo kiri, awọn naa mọ pe awọn eeyan ko fẹran awọn." Bẹẹ ni Oloye Kayode Adebayo ṣalaye fun BBC News Yoruba.</t>
  </si>
  <si>
    <t>Nigba ti a kan si Akọwe ẹgbẹ oṣelu APC nipinlẹ Ogun, Ọmọọba Aderibigbe Tella, lati ṣalaye lori awọn ẹsun yii, ohun to sọ ni pe: " Ko si igba kan ti APC ko faaye gba ẹnikẹni lati dibo, kaka bẹẹ gan-an, awọn ẹgbẹ alatako yii ni wọn ṣe oriṣiiriṣii, inu mi dẹ dun pe awọn agbofinro wa nikalẹ.</t>
  </si>
  <si>
    <t>"Awọn ni wọn ka owo mọ lọwọ ti wọn n gbiyanju lati ra ibo, wọn mu awọn eeyan kan, awọn eeyan naa dẹ ṣi wa lọdọ wọn.</t>
  </si>
  <si>
    <t>"Ibo yẹn lọ ni irọwọ-rọsẹ, kalulu lo ni anfaani lati de ibudo idibo rẹ, wọn dibo bo ṣe yẹ ki wọn dibo, ko si ohun to jọ ohun ti wọn n sọ yẹn.</t>
  </si>
  <si>
    <t>"Bawo ni APC yoo ṣe ni ki ẹgbẹ alatako ma dibo, nigba ti kalulu ni anfaani si ibudo idibo rẹ, ahesọ ni.</t>
  </si>
  <si>
    <t>"Gbogbo ẹ lati oke dele, emi o ri okodoro ọrọ kankan ninu ẹ.</t>
  </si>
  <si>
    <t>Ko sohun to jọ bẹẹ, ibo to farahan ni, a si ko akoyawọ." Bẹẹ ni Akọwe APC Ogun sọ nipa iṣẹlẹ naa, ṣugbọn awuyewuye lori ibo naa ṣi n tẹsiwaju.</t>
  </si>
  <si>
    <t>Ọjọgbọn Abiodun Oluwadare Fasiti UI, to jẹ ọga INEC fun eto idibo naa lo ṣe ikede yii nibi ti wọn ti ko esi ibo jọ nile ẹkọ girama Ikolaba niluu Ibadan lanaa ọjọ Abamẹta ọjọ kẹrindinlogun oṣu Kẹjọ yii.</t>
  </si>
  <si>
    <t>Gẹgẹ bii esi ibo ti INEC kede, Họnọrebu Oyekunle ẹgbẹ PDP ri ibo 18,404, to si la Họnọrebu Adewale Olatunji ẹgbẹ oṣelu APC to ni ibo 8,312 mọlẹ.</t>
  </si>
  <si>
    <t>Ni bayii, Họnọrebu Oyekunle ni yoo rọpo oloogbe Họnọrebu Musiliu Olaide Akinremi (Jagaban) to ku lọdun 2024 eyi to ṣokunfa atundi ibo to waye.</t>
  </si>
  <si>
    <t>Ọpọ eeyan lo ti n dunnu si bi Họnọrebu Oyekunle ṣe bori ninu atundi ibo naa, tori igba akọkọ ree ti ẹgbẹ oṣelu PDP yoo wọle ibo aṣoju-ṣofin l'Abuja lẹkun ariwa Ibadan lati ọdun 2011.</t>
  </si>
  <si>
    <t>Wọn ni eyi fi han pe ẹgbẹ ẹgbẹ oṣelu PDP n rinlẹ si i nipinlẹ Oyo.</t>
  </si>
  <si>
    <t>Àjáàbalẹ̀ ìròyìn BBC News Yorùbá lórí WhatsApp rẹ Darapọ̀ mọ́ wa nibì End of podcast promotion Ẹwẹ, ni ipinlẹ Ogun, ọwọ ọlọpaa ti ba awọn eeyan meji kan ti wọn jẹ oṣiṣẹ ajọ eleto idibo INEC.</t>
  </si>
  <si>
    <t>Alukoro ọlọpaa Ogun, SP Omolola Odutola, ṣalaye ninu atẹjade to fi sita lọjọ Abamẹta ti atundi ibo waye nipinlẹ naa, pe Ọgbẹni Toryem Joe-Stans ati Arabinrin Mandara Aminat, ti wọn jẹ oṣiṣẹ ajọ INEC pẹlu awọn mi-in ni awọn mu.</t>
  </si>
  <si>
    <t>Odutola ṣalaye pe nnkan bii aago meji ku iṣẹju mẹẹẹdogun ni ikọ ọlọpaa to n wọde ni Iperu Remo, da ọkọ ayọkẹlẹ Mitsubishi ti nọmba rẹ jẹ LAGOS AKD 887 HT, duro.</t>
  </si>
  <si>
    <t>Ọgbẹni Toryem Joe-Stans ati Arabinrin Mandara Aminat lo ni wọn wa ninu ọkọ naa pẹlu awakọ to n wa wọn.</t>
  </si>
  <si>
    <t>Nigba ti wọn yẹ ọkọ naa wo ni wọn ba milionu meji aabọ owo naira nibẹ (₦2,500,000.00) bi Odutola ṣe wi.</t>
  </si>
  <si>
    <t>Nibi ti wọn ti n fi ọrọ wa awọn eeyan naa lẹnu wo lo ni Joe-Stans Toryem ti jẹwọ, pe otẹẹli kan loun ti gba owo naa lọwọ ọkunrin kan to pe ni "Political Solution." O ni aṣẹ ọga oun loun si tẹle.</t>
  </si>
  <si>
    <t>Ṣaa, Kọmiṣanna ọlọpaa ipinlẹ Ogun, CP Lanre Ogunlowo, ti paṣẹ pe ki iwadii kikun bẹrẹ lori awọn tọwọ ba naa.</t>
  </si>
  <si>
    <t>O ni ki wọn fi wọn pamọ si olu ileeṣẹ ọlọpaa to wa ni Eleweeren na bi iwadii ṣe n lọ.</t>
  </si>
  <si>
    <t>Agbẹnusọ Aarẹ, Bayo Onanuga sọ pe Aarẹ yoo lọ si Japan ati Barazil, amọ laarin irinajo naa ni Aarẹ yoo ya si Dubai ko to lọ Brazil.</t>
  </si>
  <si>
    <t>Ninu ọrọ Onanuga, o ni "ni Japan, Aarẹ yoo kopa nibu eto Tokyo International Conference on African Development (TICAD9) niluu Yokohama laarin ogunjọ si ọjọ kejilelogun, oṣu Kẹjọ." Yatọ si eyii, o ni Aarẹ yoo yọju si awọn ipade kan ti yoo waye ṣaaju eto naa nibi ti yoo ti ba awọn ileeṣẹ kan sọrọ nipa bi wọn yoo ṣe dokoowo ni Naijiria.</t>
  </si>
  <si>
    <t>Nigba ti Aarẹ ba ti kuro ni Japan, o ni yoo morile ilu Brasilia lorilẹede Brazil.</t>
  </si>
  <si>
    <t>Gẹgẹ bo ṣe sọ, Aarẹ yoo tun ṣe awọn ipade to ṣe koko ni Brazil pẹlu awọn ti wọn nifẹ si ati wa ṣowo ni Naijiria.</t>
  </si>
  <si>
    <t>Lẹnu ọjọ mẹta yii ni iroyin gbode pe ojojo n ṣogun Tinubu, ati pe ara rẹ ko le.</t>
  </si>
  <si>
    <t>The APC again took the matter to the Court of Appeal, where judgment was delivered on February 10, 2029</t>
  </si>
  <si>
    <t>Amọ lẹyin iroyin naa ni ileeṣẹ Aarẹ tete kede pe ko si ohun to jọ pe Aarẹ n ṣaisan ati pe kokoko ni ara rẹ le.</t>
  </si>
  <si>
    <t>Wayi o, awọn eeyan kan ti n sọ pe anfani irinajo yii ni Aarẹ fẹ lo lati lọ fi tọju ara rẹ amọ ṣe bẹe lo ri?</t>
  </si>
  <si>
    <t>Ninu atẹjade ileeṣẹ Aarẹ nipa irinajo Tinubu yii, ko mẹnuba pe Aarẹ n ṣaisan tabi pe niṣe lo fẹ lọ tọju ara rẹ loke okun.</t>
  </si>
  <si>
    <t>Àjáàbalẹ̀ ìròyìn BBC News Yorùbá lórí WhatsApp rẹ Darapọ̀ mọ́ wa nibì End of podcast promotion Ẹwẹ, awọn ọmọ Naijiria kan ti bu ẹnu atẹ lu irinajo Aarẹ ọhun latari bi nnkan ṣe ri lọwọ yii ni Naijiria.</t>
  </si>
  <si>
    <t>Oniruru orilẹede ni Tinubu ti lọ lati igba to ti gba ọpa aṣẹ ijọba lọdun 2023.</t>
  </si>
  <si>
    <t>Obi sọ pe ko tọ bi Tinubu ṣe n rinrinajo kaakiri agbaye lasiko to yẹ ko joko sile lati maa gbọ ti araalu.</t>
  </si>
  <si>
    <t>Gẹgẹ bo ṣe sọ, laipẹ yii ni Tinubu lọ silẹ Saint Lucia ko to lọ sibi ipade BRICS ti ko si ṣe nnkankan pato nibẹ.</t>
  </si>
  <si>
    <t>Gomina ipinlẹ Anambra tẹlẹ naa ni "bo tilẹ jẹ pe ọpọ nnkan lo ti dẹnukọlẹ ni Naijiria, Aarẹ wa n tẹsiwaju ninu iwa aikọbiara rẹ si wa.</t>
  </si>
  <si>
    <t>"Bawo ni a ṣe fẹ ṣalaye pe a ni Aarẹ to ṣẹṣẹ de lati Brazil laipẹ yii tun n pada sibẹ bo tilẹ jẹ oniruru iṣoro la n koju nile lai si ọna abayọ?" Obi sọ pe lootọ ni Aarẹ ni oun n lọ Brazil ati Japan amọ ko sọ ọjọ pato ti yoo pada wa.</t>
  </si>
  <si>
    <t>Lẹyin naa lo ni ki Aarẹ Tinubu dẹkun ati maa ṣe bi arinrinajo afẹ.</t>
  </si>
  <si>
    <t>Wayi o, Aarẹ Tinubu ti rinrinajo lọ ilẹ okeere nigba bii mẹẹdogun o kere tan lati igba to ti gba ọpa aṣẹ Naijiiria.</t>
  </si>
  <si>
    <t>Lanaa Ọjọru ọjọ kẹtala oṣu Kẹjọ yii ni Comfort gba itusilẹ lọgba ẹwọn nibi ti ko ba wa titi di ọjọ kẹfa oṣu Kẹwaa ọdun yii ti igbẹjọ rẹ ko ba ti waye.</t>
  </si>
  <si>
    <t>Comfort gba itusilẹ lọgba ẹwọn lẹyin ti ileeṣẹ ọkọ ofurufu Ibom Air gba lati jawọ kuro ninu ẹjọ ati ẹsun ti wọn fi kan an.</t>
  </si>
  <si>
    <t>Lẹyin to jade lọgba ẹwọn ni Comfort sọrọ loju opo Instagram rẹ pe oun si wa ninu irora nitori bi wọn ti fọwọ lile mu oun.</t>
  </si>
  <si>
    <t>''Mo nilo itọju bayii ki n to le ṣalaye gbogbo nnkan to ṣẹlẹ gan an.</t>
  </si>
  <si>
    <t>Bi awuyewuye ṣe n lọ lọwọ papaa julọ lori ayelujara nipa faakaja to ṣẹlẹ laarin Comfort atawọn oṣiṣẹ Ibom Air, ohun to jẹ ọdọbinrin naa logun bayii ni itọju ara rẹ.</t>
  </si>
  <si>
    <t>Ninu ọrọ rẹ to fi lede loju opo Instagram rẹ, Comfort sọ pe ''ẹ ṣeun gbogbo eeyan fun adura, ifẹ ati atilẹyin ti ẹ ti ṣe fun mi.</t>
  </si>
  <si>
    <t>Mo ti jade kuro lọgba ẹwọn ni toootọ, amọ, mo si wa ninu irora tori bi wọn ṣe fiya jẹ mi.</t>
  </si>
  <si>
    <t>Mo nilo isinmi ati itọju lọwọ yii ki n to le ṣalaye nnkan to ṣẹlẹ gan an.</t>
  </si>
  <si>
    <t>Ẹ ṣe gan an ni ẹyin ọrẹ ati gbogbo ẹyin ti ẹ ṣe atilẹyin fun mi, mo dupẹ lọwọ yin lati inu ọkan mi wa.</t>
  </si>
  <si>
    <t>Ẹ ṣeun, bakan naa ni mo tun dupẹ lọwọ Ọlọrun to ga.'' This article contains content provided by Instagram.</t>
  </si>
  <si>
    <t>You may want to read Instagramcookie policyandprivacy policybefore accepting.</t>
  </si>
  <si>
    <t>End of Instagram post Content is not available Ileeṣẹ ọkọ ofurufu Ibom Air ko tii fesi sọrọ ti Comfort Emmanson sọ loju opo Instragram rẹ.</t>
  </si>
  <si>
    <t>Amọ, ileeṣẹ naa ti fidi rẹ mulẹ ṣaaju pe ede-ai-yede ṣẹlẹ laarin ero kan atawọn oṣiṣẹ ileeṣẹ ọkọ ofurufu naa, eyi tawọn n yanju labẹnu.</t>
  </si>
  <si>
    <t>Awọn alaṣẹ ileeṣẹ ọkọ ofurufu ọhun tun sọ pe awọn ko fi ọrọ awọn onibaara awọn ṣere rara.</t>
  </si>
  <si>
    <t>Ọpọ eeyan lo ti n sọro lori nnkan ti Emmanson sọ loju opo Instagram rẹ.</t>
  </si>
  <si>
    <t>Bawọn eeyan kan ṣe n kẹdun pẹlu rẹ lori nnkan to ti la kọja lawọn mii n sọ pe o yẹ ki ijọba ṣe iwadii nnkan to ṣẹlẹ si Comfort nigba ti wa latimọle.</t>
  </si>
  <si>
    <t>Ṣaaju l'Ọjọru ọjọ kẹtala oṣu Kẹjọ yii nile ẹjọ majistreeti kan lagbegbe Ikeja, niluu Eko tu Comfort Emmanson silẹ ni ahamọ ọgba ẹwọn lẹyin to da wahala silẹ to si gba oju ọkan lara oṣiṣẹ ileeṣẹ ọkọ ofurufu Ibom Air niluu Eko.</t>
  </si>
  <si>
    <t>Adajọ Olanrewaju Salami tu ọdọbinrin naa silẹ lẹyin ti ileeṣẹ ọlọpaa sọ pe awọn ko nifẹ si ati tẹsiwaju ninu ṣiṣẹ ẹjọ ẹsun marun un ọtọtọ ti wọn fi kan an mọ.</t>
  </si>
  <si>
    <t>Ẹwẹ, ṣaaju igbesẹ yii ni minisita fun ọrọ irinkerinde ọkọ ofurufu ni Naijiria, Festus Keyamo, (SAN), ti kọkọ kede loju opo X rẹ pe ki wọn fi silẹ.</t>
  </si>
  <si>
    <t>Keyamo sọ pe ọpọ araalu lo ba afurasi naa bẹbẹ, a ti pe o ti mọ ẹjọ rẹ lẹbi lawọn ṣe yọ okun ẹjọ lọrun rẹ.</t>
  </si>
  <si>
    <t>O fi kun pe ileeṣẹ ọkọ ofurufu Ibom Air naa ti gba lati jawọ kuro ninu ẹjọ ati ẹsun ti wọn fi kan afurasi ọhun.</t>
  </si>
  <si>
    <t>Ọjọ Aje ọsẹ yii ni Emmanson foju bale ẹjọ, bo tilẹ jẹ pe ile ẹjọ gba beeli rẹ amọ wọn fi si ahamọ ọgba ẹwọn latari pe ko ri ohun to nilo fun beeli ọhun.</t>
  </si>
  <si>
    <t>Igbesẹ yii waye latari oniruuru ẹsun pe ọpọ eeyan lo n sanwo lati gba iṣẹ ijọba apapọ tawọn mii si n fi iṣẹ ọba ṣe kata-kara.</t>
  </si>
  <si>
    <t>Ọrọ yii wa ninu atẹjade kan ti akọwe agba ajọ FCSC to n ri si ọro awọn oṣiṣẹ ni Naijiria, Ndiomu Ebiogeh Philip, fi sita.</t>
  </si>
  <si>
    <t>Ijọba kilọ pe ẹnikẹni to ba kọ lati ṣe bẹẹ yoo tumọ si iwe igbanisiṣẹ ayederu ni wọn n lo.</t>
  </si>
  <si>
    <t>Ayẹwo yii ni ijọba kede wi pe yoo bẹrẹ lati ọjọ kejidinlogun oṣu Kẹjọ yii titi di ọjọ kejidinlọgbọn oṣu yii bakan naa.</t>
  </si>
  <si>
    <t>Bakan naa ni ijọba tun sọ fawọn oṣiṣẹ naa lati lọ fun ayẹwo ọhun lawọn ileeṣẹ ijọba gbogbo.</t>
  </si>
  <si>
    <t>Àjáàbalẹ̀ ìròyìn BBC News Yorùbá lórí WhatsApp rẹ Darapọ̀ mọ́ wa nibì End of podcast promotion Lara awọn nnkan tawọn oṣiṣẹ tọrọ kan nilo fun ayẹwo ọhun ni iwe igbanisiṣẹ, iwe igbega lẹnu iṣẹ, iwe isọni di oṣiṣẹ ati ẹri owo oṣu Keje to kọja pẹlu ilana IPPIS.</t>
  </si>
  <si>
    <t>Awọn oṣiṣẹ ti ọrọ kan ni awọn to gba iṣẹ ijọba apapọ laarin ọdun 2013 si 2020 ti wọn kuna lati kopa ninu eto ayẹwo to waye lọdun 2021.</t>
  </si>
  <si>
    <t>Ajọ FCSC sọ ninu atẹajde naa wi pe ''gbogbo oṣiṣẹ tọrọ kan gbọdọ tẹle ilana ayẹwo ọhun.</t>
  </si>
  <si>
    <t>Awọn oṣiṣẹ yii gbọdọ lọ sibi ti wọn ti maa ṣe ayẹwo yii lọjọ ti wọn fun wọn.</t>
  </si>
  <si>
    <t>Gbogbo awọn oṣiṣẹ yii ni lati wo orukọ wọn lori iwe orukọ ti ajọ FCSC fi ranṣẹ si gbogbo ẹka ileeṣẹ ijọba.'' Ajọ FCSC sọ pe oṣiṣẹ 592 ni ọrọ kan ni ẹka ileeṣẹ ijọba to n ri si eto iroyin, nigba ti oṣiṣẹ 506 ni lati ṣayẹwo naa nileeṣẹ ijọba to n ri si eto ẹkọ.</t>
  </si>
  <si>
    <t>Ojile ni irinwo oṣiṣẹ ni yoo ṣe ayẹwo naa ni ileeṣẹ ijọba to n ri si ọrọ awọn oṣiṣẹ.</t>
  </si>
  <si>
    <t>Oṣiṣẹ 134 ni yoo ṣe ayẹwo naa ni ileeṣẹ ijọba to n ri si iṣẹ ode, 196 ni ileeṣẹ ijọba to n ri si ọrọ ileeṣẹ ati okowo ati196 nileeṣẹ eto ilera.</t>
  </si>
  <si>
    <t>Ojilelugba din mẹta oṣiṣe lọrọ kan nileeṣẹ ijọba to n ri si ọrọ ayika, mẹrinlelogun nileeṣẹ ijọba to n ri si ọrọ abẹle, mejidinlọgbọn lẹka eto abo ati oṣiṣẹ mẹrindinlogoji lọọfiisi akọwe ijọba apapọ.</t>
  </si>
  <si>
    <t>Kayode Akinmade, to jẹ agbẹnusọ gomina Dapo Abiodun lo sọ bẹẹ nigba to n sọrọ lori ile Daniel to wa ni Asọludẹrọ ati ile itura rẹ, Conference Hotel ti wọn fẹ dawo.</t>
  </si>
  <si>
    <t>Ṣaaju ni gomina tẹlẹ ri naa, Gbenga Daniel, ti kọkọ ke gbajare lori awọn dukia ọhun ti ijọba to wa lode fẹ wo labẹ aṣia aato ipinlẹ naa ti wọn kọ lọdun 2022.</t>
  </si>
  <si>
    <t>Daniel sọ pe gbogbo ohun to yẹ ki oun ṣe lọdọ ijọba loun ṣe ki oun to kọ awọn dukia naa ati pe ko si eyikeyi ninu rẹ ti oun kọ lai kọkọ gba aṣẹ ijọba.</t>
  </si>
  <si>
    <t>O sọ siwaju si pe igbesẹ ijọba lati wo ile oun to wa ni Ṣagamu ati ile itura Conference Hotel lọwọ oṣelu ninu.</t>
  </si>
  <si>
    <t>O ni "ijọba ipinlẹ Ogun ko gbogun ti Gbenga Daniel rara.</t>
  </si>
  <si>
    <t>"Ohun to ṣẹlẹ ni pe, ninu igbiyanju rẹ lati mu itẹsiwaju ba ipinlẹ Ogun, Gomina Dapo Abiodun ti bẹrẹ si n kọ awọn ile igbalode, bẹẹ lo n ṣatunsẹ sawọn ilu kekeke atawọn agbegbe nla.</t>
  </si>
  <si>
    <t>"Agbegbe Ibara GRA lo ti bẹrẹ iṣẹ naa niluu Abeokuta, iṣẹ ọhun yoo si tun de Sagamu atawọn GRA to wa ni Ijebu-Ode.</t>
  </si>
  <si>
    <t>"Iṣẹ ọhun pe fun ki a ṣe ayẹwo awọn ile to wa lawọn agbegbe yii ki a le mọ boya wọn gba asẹ ijọba, ọrọ naa kan awọn ile gbigbe, ile ẹkọ, ile iwosan atawọn ile itaja." Akinmade sọ siwaju si pe  "inu Sagamu GRA ni ile Otunba Gbenga Daniel wa, yatọ si ile rẹ, ijọba tun fun awọn onilẹ mii lagbegbe naa ni iwe." Akinmade pari ọrọ rẹ pe ohun kan to ku fun Daniel lati ṣe ni lati mu iwe iforukọsilẹ ile rẹ lọ si ọọfisi ijọba to n bojuto ọrọ naa lati yanju ọrọ to n run nilẹ.</t>
  </si>
  <si>
    <t>O sọ pe igbesẹ awọn ko lọwọ oṣelu ninu bo tilẹ jẹ pe Daniel gbagbọ pe wọn mọọmọ n gbogun ti oun nitori oṣelu ni.</t>
  </si>
  <si>
    <t>Tuntun to tun jade ni iroyin to ni, ẹgbẹ oṣele Peoples Democratic Party, PDP, ti n jiroro lati fa aarẹ orilẹede Naijiria nigba kan ri, Goodluck Jonathan kalẹ gẹgẹ bii oludije fun eto idibo aarẹ lọdun 2027.</t>
  </si>
  <si>
    <t>Jonathan lo ti gba isinmi lẹnu iṣẹ oṣelu lati igba to ti lulẹ lọdun 2015 ninu eto idibo aarẹ, ti ẹgbẹ oṣelu PDP si ti fidi rẹ mulẹ pe, ijiroro ti bẹrẹ pẹlu Jonathan lati jade dupo aarẹ tako Aarẹ Bola Tinubu ninu eto idibo to n bọ.</t>
  </si>
  <si>
    <t>Awọn amoye kan gbagbọ pe igbesẹ nla ree lati dena de apapọ awọn ẹgbẹ kan.</t>
  </si>
  <si>
    <t>Iroyin to tẹ BBC lọwọ ni pe PDP, pẹlu ajọsepo awọn gomina ati olori labẹ ẹgbẹ oṣelu naa n gbiyanju lati ba Aarẹ Jonathan sọrọ lati jade dupo aarẹ ninu eto idibo ọdun 2027.</t>
  </si>
  <si>
    <t>Malam Ibrahim Abdullahi, igbakeji agbẹnusọ ẹgbẹ oṣelu PDP, fidi iroyin naa mulẹ, to si jẹ ko di mimọ pe Jonathan setan lati fọ ohun rere si ibeere ẹgbẹ oṣelu PDP.</t>
  </si>
  <si>
    <t>"Nnkan ti ẹru Ọlọrun yii ṣe nigba to wa ni ijọba lo jẹ ka gbagbọ pe o ni inu re.</t>
  </si>
  <si>
    <t>Àjáàbalẹ̀ ìròyìn BBC News Yorùbá lórí WhatsApp rẹ Darapọ̀ mọ́ wa nibì End of podcast promotion "Niwọn igba to si wa ninu ẹgbẹ oṣelu PDP, a si le wa sita.</t>
  </si>
  <si>
    <t>Nigba ti awọn araalu ti mọ pe ohun to waye tẹlẹ ki n ṣe ẹjọ rẹ, wọn fun ni suuru, ti wọn si n bẹ Ọlọrun pe ko ran eeyan gidi wa ." "Nigba ti a si nifẹ araalu lọkan, ti a si fẹ nnkan to da fun wọn, a ri pe o ṣe koko lati tẹ eti si ibeere araalu, ka si wa ọna abayọ si, " Malam Ibrahim Abdullahi ṣalaye.</t>
  </si>
  <si>
    <t>Bakan naa ni BBC tun gbọ pe ọpọ awọn olori ninu ẹgbẹ oṣelu PDP, tẹle Jonathan lọ si orilẹede Gambia ni ọsẹ to kọja pẹlu erongba lati ba sọrọ pe ko wa dije dupo aarẹ.</t>
  </si>
  <si>
    <t>Lọwọ yii, Malam Ibrahim Abdullahi, ni aarẹ nigba kan ri ọhun n fi ami han pe yoo tẹwọgba ipe lati ọwọ PDP, to si tun ti fi awọn ohun to le di lọna silẹ.</t>
  </si>
  <si>
    <t>O ni, "o ti n ba awọn eeyan sọrọ, to si n fun wọn ni ohun to le mu u dije fun ipo aarẹ." Onimọ nipa oṣelu, Ọjọgbọn Abubakar Kari ti fasiti ilu Abuja, gbagbọ pe eyi yoo fa ọpọ kudiẹkudiẹ ninu eto idibo ọdun 2027.</t>
  </si>
  <si>
    <t>O ni, "ti Goodluck ba dije, ategun tuntun yoo de ba PDP, eyi ti wọn nilo tipẹ.</t>
  </si>
  <si>
    <t>Mo gbagbọ pe ijade Goodluck Jonathan yoo mu ifasẹyin ba awọn ẹgbẹ oṣelu to korajọ nitori awọn ni igbagbọ wa pe wọn yoo jẹ alatako nla." Ẹwẹ, iroyin mii tun jade pe PDP n ba gomina tẹlẹ nipinlẹ Kano, Sẹnetọ Rabiu Musa Kwankawso, sọrọ lati jade dupo gẹgẹ bi igbakeji pẹlu Goodluck Jonathan.</t>
  </si>
  <si>
    <t>Ofin naa ti ẹgbẹ oṣiṣẹ sọ pe yoo maa dari awọn lasiko iyanṣẹlodi, ni ijọba Naijiria ni awọn tẹwọgba l'Ọjọbọ, lẹyin ipade igbimọ alaṣẹ Naijiria.</t>
  </si>
  <si>
    <t>Minisita eto iroyin ati ikede, Mohammed Idris, lo kede ofin naa lẹyin ipade ọhun.</t>
  </si>
  <si>
    <t>Mohammed ṣalaye pe ofin tuntun yii yoo maa ṣe atọna fun awọn adari okowo, awọn agbanisiṣẹ, ijọba ati awọn ajọ kaakiri Naijiria.</t>
  </si>
  <si>
    <t>Yoo tun fi aaye gba ajọsọ nilana ti wọn n lo lagbaaye, bi Mohammed ṣe sọ.</t>
  </si>
  <si>
    <t>Ilana ti yoo maa dari ipinnu awon oṣiṣẹ naa ni NLC yari pe awọn ko ni i fi aaye gba.</t>
  </si>
  <si>
    <t>Àjáàbalẹ̀ ìròyìn BBC News Yorùbá lórí WhatsApp rẹ Darapọ̀ mọ́ wa nibì Ninu atẹjade kan ti Aarẹ ẹgbẹ oṣiṣẹ, Joe Ajaero, buwọlu, lo ti ni ijọloju gidi lo jẹ, pe ninu gbogbo ilana ti ajọ to ṣe agbekalẹ ilana fun awọn oṣiṣẹ,  la kalẹ, eyi to ni i ṣe pẹlu iyanṣẹlodi ni ijọba ri mu.</t>
  </si>
  <si>
    <t>Wọn ni eyi to n fọ wọn lori ninu rẹ ni wọn mu yẹn.</t>
  </si>
  <si>
    <t>"Atẹjade buruku ti wọn fi sita naa ti tu aṣiri ohun ti awọn ti a yan sipo n ro nipa awa oṣiṣẹ ati araalu.</t>
  </si>
  <si>
    <t>"Ẹtọ ni fun oṣiṣẹ tabi ẹgbẹ oniṣowo lati yanṣẹlodi, ko si sẹni to le yọ ọ kuro labẹ ofin." Bẹẹ ni atẹjade awọn NLC wi, to si tako ti ijọba.</t>
  </si>
  <si>
    <t>Bakan naa ni ẹgbẹ oṣiṣẹ fi aidunnu wọn han si bi ijọba ṣe lo ọwọ agbara lati yi adehun ẹlẹni mẹta to da awọn pọ pada.</t>
  </si>
  <si>
    <t>Adehun naa to wa laaarin ijọba, agbanisiṣẹ ati awọn oṣiṣẹ lo ni awọn ti jọ fẹnuko le lori.</t>
  </si>
  <si>
    <t>NLC ṣalaye pe igbeṣẹ ti yoo sọ iṣe awọn NIRP di iwa ọdaran ni ijọba Naijiria n gbe, bẹẹ ẹgbẹ to ṣẹṣẹ n dide bọ ni.</t>
  </si>
  <si>
    <t>Atẹjade ẹgbẹ oṣiṣẹ tẹsiwaju, pe awọn lodi si igbesẹ yii latari pe o tako ofin ọdun 1999, abala owo ṣiṣẹ to fi aaye gba igbimọ ọlọja lati daṣẹ silẹ labẹ ofin.</t>
  </si>
  <si>
    <t>Gẹgẹ bi alaye NLC, ofin yii ti wa tipẹ, o si wa fun awọn nnkan mi-in nipa iṣẹ ni.</t>
  </si>
  <si>
    <t>Wọn ni ṣugbọn o wulẹ wu ijọba Naijiria lati mu abala to tako iyanṣẹlodi yii nikan ni.</t>
  </si>
  <si>
    <t>Iroyin sọ pe iyanṣẹlodi ikilọ ọlọjọ meje ti ẹgbẹ awọn nọọsi ati agbẹbi gunle l'Ọjọruu ọsẹ to kọja, lo mu ijọba bẹrẹ igbese tuntun yii.</t>
  </si>
  <si>
    <t>‎Ẹmi eeyan mẹrin ati ọpọlọpọ dukia lo ṣofo ninu ija to waye laarin ilu Esa-oke ati ilu Ido-ayegunle, nipinlẹ Osun.</t>
  </si>
  <si>
    <t>‎Pupọ ninu awọn ile to wa niluu Ido-ayegunlẹ ni wọn ti sọ di ahoro lẹyin ti wọn dana sun.</t>
  </si>
  <si>
    <t>wọn tan ‎Ti ẹ ko ba gbagbe, lati ọgbọn ọjọ, osu Kinni, ọdun 2025 yii ni wahala ti bẹrẹ nigba tijọba ipinlẹ Osun fi Ọmọọba Oluwatimilẹyin Ajayi jẹ Olojudo ti Ido Ayegunle.</t>
  </si>
  <si>
    <t>Awọn araalu naa fariga pe ko yẹ ki ijọba fi ẹni ti kii ṣe ọmọ ilu awọn jọba, baalẹ to si wa nibẹ tẹlẹ lo yẹ ki ijọba sọ di ọba.</t>
  </si>
  <si>
    <t>‎Ilu Esa-oke tako yiyan ọba ati ẹni ti ijọba yan gẹgẹ bii ọba si iluu Ido-ayegunlẹ.</t>
  </si>
  <si>
    <t>‎Awọn Oloye Esa-oke ni, Ido-ayegunlẹ ki ṣe ilu to to lati gba Ọba, nitori pe ọkan lara awọn abule to wa lara iluu Esa-oke ni Ido-ayegunlẹ jẹ.</t>
  </si>
  <si>
    <t>Eyi lo fa ikọlu ti awọn eeyan Ido-ayegun ṣe si iluu Esa-oke ni ọgbọn ọjọ, oṣu Kinni, ọdun 2025 yii, ti wọn si dana sun aafin ati ọkọ ayọkẹlẹ ọba Esa-oke lasiko ikọlu naa.</t>
  </si>
  <si>
    <t>‎Yatọ si eeyan meji ti wọn ṣi n wa bayii, eeyan mẹrin lo ti dero ọrun, ti wọn si dana sun gbogbo ile to wa niluu naa, latari wahala ija tuntun to bẹ silẹ ni ọjọ kọkandinlogun, oṣu Kẹfa, ọdun 2025 yii ni ilu Ido-ayegunle nitosi Ẹsa-Oke, nipinlẹ Osun.</t>
  </si>
  <si>
    <t>‎Gẹgẹ bi Ọbanla ilu Ido-ayegun naa, Ibironke Adebusuyi ṣe sọ, aago mẹwaa aarọ ọjọ kọkandinlogun, oṣu Kẹfa to kọja lawọn janduku ti wọn sọ pe wọn wa lati ilu Ẹsa Oke ya wọ ilu Ido-Ayegunle, ti wọn si bẹrẹ si i yinbọn lakọlakọ.</t>
  </si>
  <si>
    <t>‎Adebusuyi sọ pe awọn janduku ọhun to ọgọrun, ọkada ni wọn gun wọluu, bẹẹ ni wọn fi aṣọ bo oju wọn, ṣugbọn awọn araalu da awọn kan mọ laarin wọn.</t>
  </si>
  <si>
    <t>‎Ninu wahala tuntun yii, Adebusuyi sọ siwaju pe awọn janduku naa ge ori ọkunrin kan, wọn si ge ọwọ ẹnikan.</t>
  </si>
  <si>
    <t>O ni lẹyin ti wọn pa awọn eeyan mẹrẹrin ni wọn tun ju wọn sinu kanga, ti wọn si gbe okuta nla le kọnga naa lori.</t>
  </si>
  <si>
    <t>‎Kọmiṣọna to n ri si ọrọ ijọba ibilẹ ati awọn lọbalọba, Dosu Babatunde, ṣalaye pe ija to waye laarin iluu Esa-oke ati ilu Ido-ayegunle ni ọjọ kọkandinlogun, osu Kẹfa, ọdun yii, kii ṣe ọrọ ọlọba de lo mu ija naa wa.</t>
  </si>
  <si>
    <t>‎Dosu ni ọrọ ija ilẹ lo fa ija to waye yii.</t>
  </si>
  <si>
    <t>O ni ọrọ ọlọba de ti wa nile ẹjọ ati pe awọn ti yan awọn igbimọ kan lori ọrọ naa ti wọn si n tẹsiwaju lori iwadi wọn.</t>
  </si>
  <si>
    <t>‎Alukoro ileeṣẹ ọlọpaa Osun, Abiodun Ojelabi fidi iṣẹlẹ naa mulẹ pe eeyan mẹrin lo padanu ẹmi wọn ninu isẹlẹ naa.</t>
  </si>
  <si>
    <t>O fi kun pe ootọ ni pe wọn pa awọn kan ti wọn si ko wọn da sinu kanga, ti wọn tun ge apa ati ẹsẹ awọn miran sinu kanga bakan naa.</t>
  </si>
  <si>
    <t>‎Abiodun sọ pe kọmiṣọna ọlọpaa ti ṣabẹwo si ilu naa, wahala aala ilẹ to si ti wa laarin awọn ilu mejeeji tẹlẹ lo tun ṣokunfa iṣẹlẹ naa.</t>
  </si>
  <si>
    <t>Ṣugbọn iwadii n lọ lọwọ lori iṣẹlẹ naa lati le fi oju awọn to ṣe iṣẹ labi naa lede.</t>
  </si>
  <si>
    <t>Nigba to n jẹrii niwaju adajọ Jude Onwuegbuzie niluu Abuja, Umar Babangida to jẹ oluwadii pẹlu ajọ EFCC ṣalaye pe, eyi wa ninu iwe akọsilẹ ti Obasanjo fi ransẹ si EFCC pe oun ko buwọlu iṣẹ akanṣe kikọ ibudo amunawa ọhun eyiti Minisita tẹlẹ fun  ohun amuṣagbara ati irin tutu ilẹ wa, Olu Agunloye, gbe fun ileeṣẹ Sunrise Power.</t>
  </si>
  <si>
    <t>Ti ẹ o ba gbagbe, EFCC n ṣe ẹjọ pẹlu Agunloye lori ẹsun onikoko meje to da lori yiyi iwe, titapa si ọrọ aarẹ ati fifun eeyan ni owo ẹyin.</t>
  </si>
  <si>
    <t>EFCC fẹsun kan Agunloye pe o gbe akanṣe iṣẹ ileeṣẹ amunawa Mambilla fun ileeṣẹ Sunrise Power lọjọ kejilelogun oṣu Karun un ọdun 2003 lai gbaṣẹ lọwọ aarẹ ati lai si ninu eto iṣuna.</t>
  </si>
  <si>
    <t>Ajọ naa tun sọ pe minisita tẹlẹ ri ọhun tẹwọ gba N5.212m lọwọ ileeṣẹ Sunrise Power &amp; Company Limited (SPTCL) ati lọwọ Ọgbẹni Leno Adesanya nipasẹ Ọgbẹni Jide Abiodun Sotinrin.</t>
  </si>
  <si>
    <t>Amọ, minisita tẹlẹri naa ti sọ pe oun ko jẹbi gbogbo ẹsun ti wọn fi kan oun.</t>
  </si>
  <si>
    <t>Ṣugbọn Ọgbẹni Babangida to jẹ ẹlẹrii sọ fun ile ẹjọ wi pe 'Oloye Obasanjo to dari ipade igbimọ alaṣẹ ijọba lọjọ kọkanlelogun oṣu Karun un ọdun 2003 kọ lẹta si agbẹjọro agba Naijiria lọjọ kẹtadinlọgbọn oṣu Kọkanla ọdun 2023 wi pe oun ko buwọlu iṣẹ akanṣe kankan fun ileeṣẹ Sunrise Power.</t>
  </si>
  <si>
    <t>Obasanjo ni oun kan sọ fun minisita pe ko gbe ọrọ naa kalẹ lasiko ipade igbimọ alaṣẹ ni ati pe igbimọ alaṣẹ pada sọ fun minisita wi pe ko si duro na lori akanṣẹ iṣẹ ọhun.'' Àjáàbalẹ̀ ìròyìn BBC News Yorùbá lórí WhatsApp rẹ Darapọ̀ mọ́ wa nibì End of podcast promotion Alukoro ajọ EFCC, Dele Oyewale, ṣalaye lọjọ Aje wi pe Ọgbẹni Babangida tun sọ pe Obasanjo loun kọ loun buwọlu lẹta akanṣe iṣẹ naa ti Agunloye gbe jade lọjọ kejilelogun oṣu Karun un ọdun 2003.</t>
  </si>
  <si>
    <t>O ni bakan naa ni Obasanjo tun sọ pe kii ṣe igbimọ alaṣẹ ijọba lo buwọlu lẹta naa pẹlu.</t>
  </si>
  <si>
    <t>Ẹlẹrii tun sọ fun ile ẹjọ wi pe bo tilẹ jẹ pe ijọba apapọ ni ki oriṣiiriṣii ileeṣẹ kọ iwe si ijọba pe awọn le ṣe akanṣe iṣẹ ileeṣẹ amunawa Mambilla, o ni laarin ọjọ kan ṣoṣo ni Agunloye gbe iṣẹ naa fun ileeṣẹ Sunrise Power.</t>
  </si>
  <si>
    <t>''Nnkan ti ijọba apapọ sọ fun minisita ni pe ko ranṣẹ pe awọn olokowo sii to le ṣiṣẹ ileeṣẹ amunawa Mambilla naa.</t>
  </si>
  <si>
    <t>Amọ, lọjọ kejilelogun oṣu Karun un ọdun 2003 ti i ṣe ọjọ keji ipade igbimọ alaṣẹ ni minisita gbe iṣẹ naa fun ileeṣẹ Sunrise Power,'' Babangida lo sọ bẹẹ.</t>
  </si>
  <si>
    <t>Babangida tun sọ fun ile ẹjọ wi pe iwadii EFCC fi han pe ileeṣẹ Sunrise Power san awọn owo kan fun Agunloye.</t>
  </si>
  <si>
    <t>Babangida sọ pe ''iwadii fi han pe olujẹjọ gba N3.6m lọjọ kẹwaa oṣu Kẹjọ ọdun 2019.</t>
  </si>
  <si>
    <t>O tun gba N500,000 lọjọ kejilelogun oṣu Kẹwaa ọdun 2019, bakan naa lo tun gba N1.1m lọjo kẹtala oṣu Kọkanla ọdun 2019 bakan naa.</t>
  </si>
  <si>
    <t>Shotire Jide Abiodun, to jẹ amugbalẹgbẹ Leno Adesanya to ni ileeṣẹ Sunrise Power lo san gbogbo owo yii fun Ọgbẹni Agunloye.'' Igbẹjọ tẹsiwaju nile ẹjọ giga niluu Abuja lonii.</t>
  </si>
  <si>
    <t>Aarẹ Bola Tinubu ti fofin de kiko ọja wọle lati ilẹ okeere si Naijiria papaa julọ awọn nnkan ti orilẹede Naijiria le ṣe.</t>
  </si>
  <si>
    <t>Aarẹ Tinubu tun sọ gbedeke iye awọn akọṣẹmọṣẹ ilẹ okeere to le wọ Naijiria lati wa ṣiṣẹ tawọn ọmọ Naijiria naa le ṣe funra wọn.</t>
  </si>
  <si>
    <t>Minisita eto iroyin ati ilanilọyẹ, Mohammed Idris, lo fidi ọrọ yii mulẹ lẹyin ipade igbimọ alaṣẹ to waye nileeṣẹ ijọba l'Abuja lọjọ Aje eyi ti Aarẹ Tinubu dari rẹ.</t>
  </si>
  <si>
    <t>Minisita ni igbesẹ nla ti yoo mu idagbasoke ba ọrọ aje Naijiria ni igbesẹ ti aarẹ gbe yii, ati pe yoo tun mu igbelarugẹ ba awọn nnkan ti orilẹede Naijiria n pese.</t>
  </si>
  <si>
    <t>Ọgbẹni Idris ni ọkan gboogi ni igbesẹ yii jẹ ninu akitiyan ijọba aarẹ Tinubu lati mu ọrọ aje Naijiria pada bọ sipo.</t>
  </si>
  <si>
    <t>Minisita eto iroyin sọ pe igbesẹ yii ko ni jẹ ki orilẹede Naijiria gbẹkẹle ọja ilẹ okeere nikan mọ.</t>
  </si>
  <si>
    <t>Àjáàbalẹ̀ ìròyìn BBC News Yorùbá lórí WhatsApp rẹ Darapọ̀ mọ́ wa nibì End of podcast promotion ''Eto yii yoo jẹ ki aṣa okowo tuntun eyi to ni ṣe pẹlu orilẹede Naijiria nikan gbilẹ daadaa.</t>
  </si>
  <si>
    <t>Igbesẹ yii yoo tun jẹ kawọn ọmọ Naijiria jẹ anfaani okowo ijọba pẹlu bi ijọba ṣe n nawo, ra ọja ati bi wọn ṣe n mu eto ọrọ aje gbooro,'' Minisita lo sọ bẹẹ.</t>
  </si>
  <si>
    <t>Minisita eto iroyin ati ilanilọye sọ pe aarẹ ti sọ fun agbẹjọro agba ni Naijiria lati sọ igbesẹ naa di ofin.</t>
  </si>
  <si>
    <t>O ni igbesẹ yii ti yoo maa ṣe igbelarugẹ nnkan ti orilẹede Naijiria n pese jẹ ọkan gboogi ninu eto imugbooro ọrọ aje ijọba Aarẹ Tinubu.</t>
  </si>
  <si>
    <t>Ọgbẹni Idris sọ pe ajọ Bureau of Public Procurement (BPP) gbọdọ ri pe gbogbo ẹka ijọba lo n lo nnkan ti wọn ṣe ni Naijiria bayii.</t>
  </si>
  <si>
    <t>Minisita ni ajọ BPP yoo ṣe akojọpọ awọn olokowo ọmọ Naijiria ti wọn yoo maa ta nnkan ti wọn n ṣe fun gbogbo ileeṣẹ ijọba.</t>
  </si>
  <si>
    <t>Ọgbẹni Idris fikun ọrọ rẹ pe ajọ BPP ti fi awọn oṣiṣẹ wọn si gbogbo ileeṣẹ ijọba lati maa tọpinpin bi wọn ṣe n lo nnkan tawọn ileeṣẹ ati olokowo Naijiria n ṣe.</t>
  </si>
  <si>
    <t>O ni lati akoko yii lọ ko si ileeṣẹ ijọba to gbọdọ ra nnkan ti wọn n ṣe ni Naijiria nilẹ okeere mọ.</t>
  </si>
  <si>
    <t>Minisita ko ṣai fidi rẹ mulẹ pe ti o ba pọn dandan ki ijọba tabi ẹnikẹni lo agbaṣẹṣe lati ilẹ okeere, iru agbaṣẹṣe bẹẹ gbọdọ lo imọ ẹrọ ni Naijiria tabi ko kọ awọn ọmọ Naijiria ni iru imọ ẹrọ to ba n gbe bọ wa Naijiria.</t>
  </si>
  <si>
    <t>Idris ni gbogbo ileeṣẹ ijọba ni lati sọ erongba wọn lori nnkan ti wọn ba fẹ ra fun ijọba bayii.</t>
  </si>
  <si>
    <t>O ni ijiya wa fun ileeṣẹ ijọba to ba kọ lati ṣe bẹẹ, ati pe ijọba yoo fagile nnkan ti wọn fẹ ra nilẹ okeere.</t>
  </si>
  <si>
    <t>Minisita ni ileesẹ ti wọn ti n ṣe ṣuga wa lara awọn ileeṣẹ to nilo itaji ni Naijiria.</t>
  </si>
  <si>
    <t>Idris ni nnkan ti ko bojumu ni bi Naijiria ti n ko ṣuga wọle lati ilẹ okeere nigba ti ileeṣẹ to n ṣe ṣuga ni Naijiria ti dẹnukọlẹ.</t>
  </si>
  <si>
    <t>O ni awọn agbaṣẹṣe ko ni lanfaani lati maa ko ọja to ba wu wọn wọle si Naijiria mọ, nigba tawọn ileeṣẹ Naijiria n ku lọ.</t>
  </si>
  <si>
    <t>Minisita ni owo ijọba gbọdọ maa ṣiṣẹ fawọn ọmọ Naijiria bayii.</t>
  </si>
  <si>
    <t>Ìdí ni pé igun ìgbìmọ̀ aláṣẹ ẹgbẹ́ òṣèlú Labour kan, tí Julius Abure ń darí, ti kéde pé oun ti ní ki gómìnà ìpínlẹ̀ Abia, Alex Otti àtàwọn márùn-ún míì lọ rọ́kún nílé fún ìgbà kan ná.</t>
  </si>
  <si>
    <t>Àwọn míì tí igun Abure náà tun ní kí wọ́n lọ rọ́kún nílé fún ìgbà kan ná ni Sẹ́nétọ̀ Ireti Kingibe, Darlington Nwokocha, Victor Afam Ogene, Amobi Ogah àti Seyi Sowunmi.</t>
  </si>
  <si>
    <t>Wọ́n ní ìgbésẹ̀ yìí ń wáyé lẹ́yìn ìjábọ̀ ìgbìmọ̀ olùwádìí tí ìgbìmọ̀ aláṣẹ náà gbé kalẹ̀ lọ́jọ́ Kejì, oṣù Karùn-ún, ọdún 2025 láti ṣe ìwádìí ìwà ṣèyìí-ṣọ̀hún táwọn ọmọ ẹgbẹ́ náà ń hù.</t>
  </si>
  <si>
    <t>Wọ́n ní ohun tí ìrọkún nílé yìí túmọ̀ sí ni pé àwọn èèyàn náà kò lẹ́tọ̀ọ́ láti máa fi ara wọn hàn tàbí ṣe ohunkóhun ní orúkọ ẹgbẹ́ òṣèlú àwọn mọ́.</t>
  </si>
  <si>
    <t>Ikọ̀ náà lábẹ́ ìdarí Abure ní ó jẹ́ ohun ìyàlẹ́nu fún àwọn pé ikọ̀ tí Nenadi Usman ń darí, ń ṣe ìwádìí ìwà àjẹbánu nígbà tó jẹ́ pé Usman fúnra rẹ̀ ṣì ń jẹ́jọ́ ìwà àjẹbánu lọ́dọ̀ àjọ tó ń rí ìwà jẹgúdújẹrá ní Nàìjíríà, EFCC.</t>
  </si>
  <si>
    <t>Àtẹ̀jáde náà àwọn kò mọ Nenadi Usman, tó figbà kan rí jẹ́ mínísítà fún ètò ìsúná Nàìjíríà, bí i ọmọ ẹgbẹ́ òṣèlú Labour Party.</t>
  </si>
  <si>
    <t>Ó ní "ó máa jẹ́ ìyàlẹ́nu fáwọn ọmọ Nàìjíríà àtàwọn ọmọ ẹgbẹ́ tọkàntọkàn pé orúkọ Nenadi Usman kò sí nínú orúkọ tí ẹgbẹ́ ní kí wọ́n lọ rọ́kún nílé.</t>
  </si>
  <si>
    <t>Àkọ́kọ́, a ti sọ́ lọ́pọ̀ ìgbà pé Nenadi Usman kìí ṣe ọmọ ẹgbẹ́ Labour Party nítorí kò ní káàdì ẹgbẹ́ lọ́wọ́.</t>
  </si>
  <si>
    <t>"A mọ̀ pé ọmọ ẹgbẹ́ Obidient Support Group, tó ṣiṣẹ́, yó ṣì tún ń ṣiṣẹ́ fún olùdíje ààrẹ fẹ́gbẹ́ wa lásìkò ìbò ọdún 2023.</t>
  </si>
  <si>
    <t>A ò ní fòfin kankan nítorí kìí ṣe ọmọ ẹgbẹ́.</t>
  </si>
  <si>
    <t>"Nenadi Usman kò ní ipa kankan láti bẹ̀rẹ̀ ìwádìí tàbí sọ̀rọ̀ lórí ìwà àjẹbánu." Abure yan ìgbìmọ̀ olùwádìí láti ṣe ìwádìí àwọn ìwà ṣèyìí-ṣọ̀hún tí wọ́n fi kan gómìnà Alex Otti àti olùdíje sípò ààrẹ lẹ́gbẹ́ òṣèlú Labour Party níbi ètò ìdìbò ọdún 2023.</t>
  </si>
  <si>
    <t>Àjáàbalẹ̀ ìròyìn BBC News Yorùbá lórí WhatsApp rẹ Darapọ̀ mọ́ wa nibì End of podcast promotion Ẹ̀wẹ̀, ikọ̀ aláṣẹ tí Nenadi Usman ń darí náà ti gbé ikọ̀ kan dìde láti ṣe ìwádìí àkókò tí Julius Abure lò gẹ́gẹ́ bíi alága ẹgbẹ́ òṣèlú náà.</t>
  </si>
  <si>
    <t>Ikọ̀ ti Usman, tí Alex Otti àti Peter Obi faramọ́, ti fún Abure ní ọjọ́ méjì láti yé pe ara rẹ̀ ní alága ẹgbẹ́ òṣèlú Labour Party mọ́ nítorí sáà rẹ̀ ti parí.</t>
  </si>
  <si>
    <t>Nígbà tó ń bá àwọn akọ̀ròyìn sọ̀rọ̀ lọ́jọ́rú nílùú Abuja, Usman jẹ́jẹ̀ẹ́ láti fòpin sí àwọn ìgbésẹ̀ Abure láti dá wáhàlá sílẹ̀ nínú ẹgbẹ́ òṣèlú náà ṣááj'ètò ìdìbò ọdún 2027.</t>
  </si>
  <si>
    <t>Ó ní òun rò pé pẹ̀lú ìdájọ́ tí ilé ẹjọ́ tó ga jùlọ ní Nàìjíríà gbé kalẹ̀ lọ́jọ́ Kẹrin, oṣù Kẹrin, tí wọ́n ti fòpin sí sáà Abure, yóò mú Abure ṣiṣẹ́ pẹ̀lú ìgbìmọ̀ aláṣẹ ẹgbẹ́ tuntun lójúnà àti mú àtúntò àti ìlọsíwájú bá ẹgbẹ́ àwọn.</t>
  </si>
  <si>
    <t>Ó fi kun pé ìyàlẹ́nu ló jẹ́ pé káká kó fọwọ́sowọ́pọ̀ pẹ̀lú ẹgbẹ́, Abure ṣì ń pe ara rẹ̀ ní alága, tó sì ń ba àwọn àgbààgbà ẹgbẹ́ bíi Otti àti Obi lórúkọ jẹ́.</t>
  </si>
  <si>
    <t>Ó wòye pé àwọn ìgbésẹ̀ Abure yìí kò kàn jẹ́ títẹ ìdájọ́ ilé ẹjọ́ lójú mọ́lẹ̀ nìkan, ó ní ó ń kó ẹrẹ̀ bá ẹgbẹ́ òṣèlú àwọn.</t>
  </si>
  <si>
    <t>Bákan náà ní ikọ̀ Usman ní àwọn ní ìgboyà nínú gómìnà Alex Otti àti Peter Obi lòdì sí nǹkan tí Abure ń sọ nípa wọn.</t>
  </si>
  <si>
    <t>Pat Utomi sọ pé àwọn ṣàgbékalẹ̀ ìjọba òdìkejì náà tó pe orúkọ rẹ̀ ní "Big Tent Coalition Shadow Government" lórí ayélujára.</t>
  </si>
  <si>
    <t>Ó ní àwọn gbé ìjọba náà kalẹ̀ láti máa ṣiṣẹ́ gẹ́gẹ́ bí ẹgbẹ́ alátakò tí gbá múṣé láti máa ṣàfihàn àwọn ìjákulẹ̀ ètò ìjọba lábẹ́ ìdarí Ààrẹ Bol Ahmed Tinubu àti láti máa pèsè àwọn ìmọ̀ràn tó yẹ fún ìjọba lórí àwọn ìgbésẹ̀ wọn.</t>
  </si>
  <si>
    <t>Ó sọ pé ọ̀pọ̀ ìgbésẹ̀ àti ètò ìjọba ló ń dákún ìṣòro àti ebi fáwọn ọmọ Nàìjíríà, tó sì ń mú kí ọ̀pọ̀lọpọ̀ iléeṣẹ́ kógbá sílé, tó sì tún dákún ìwà ìgbéṣùmọ̀mí ní ìpínlẹ̀ Benue àti Plateau.</t>
  </si>
  <si>
    <t>Ó fi kun pé àìsí ààbò àti ìwà àjẹbánu náà ń fi ojoojúmọ́ pọ̀ sí ní orílẹ̀ èdè yìí.</t>
  </si>
  <si>
    <t>Mínísítà fétò ìròyìn àti ìlanilọ́yẹ̀, Mohammed Idris nínú èsì rẹ̀ sọ pé gbígbé ìjọba ìdàkejì dìde lásìkò tí Nàìjíríà ń palẹ̀mọ́ láti ṣayẹyẹ ọdún Kẹrìndínlọ́gbọ̀n tí a ti ń bá ètò ìṣèjọba àwaarawa bọ̀, jẹ́ ohun tí kò tọ̀nà rárá.</t>
  </si>
  <si>
    <t>Idris ní Nàìjíríà kò lo ètò ìjọba irúfẹ́ ti ilẹ̀ Gẹ̀ẹ́sì tó fi ààyè gba ètò ìjọba "shadow government" àti pé òfin Nàìjíríà kò fààyè gbà á.</t>
  </si>
  <si>
    <t>Ó ní bí ó tilẹ̀ jẹ́ pé ètò ìṣèjọba àwaarawa fààyè gba àtakò, ó gbọ́dọ̀ wáyé lọ́nà tó bá òfin mu.</t>
  </si>
  <si>
    <t>Àgbà Amòfin ní Nàìjíríà, Ahmed Raji ṣàlàyé fún bí BBC News Yoruba pé: "Shadow Government" dàbí ìjọba òdìkejì léyìí tó máa ń ṣẹlẹ̀ nígbà tí orílẹ̀ èdè kan bá ń lo ètò ìjọba tí ilé ìgbìmọ̀ aṣòfin ń darí, èyí tí wọ́n ń pè ní "parliamentary system of government".</t>
  </si>
  <si>
    <t>Amòfin Raji ní ètò ìṣèjọba tí à ń lò lọ́wọ́ ní Nàìjíríà, tí a ní ìgbìmọ̀ aṣòfin méjì.</t>
  </si>
  <si>
    <t>ìyẹn ilé aṣòfin àgbà àti asọjúṣòfin, kò fi ààyè sílẹ̀ fún "shadow government rárá.</t>
  </si>
  <si>
    <t>"Ohun tó ń jẹ́ "shadow government" ni pé, a máa ní ẹgbẹ́ òṣèlú tó ń ṣe ìjọba àti ẹgbẹ́ alátakò.</t>
  </si>
  <si>
    <t>Ẹgbẹ́ alátakò yẹn náà ma wá ní ètò sílẹ̀ bí ẹni pé ìgbàkígbà ni àwọn le de ìjọba.</t>
  </si>
  <si>
    <t>Ó ní gbogbo olùdarí tí ìjọba tó wà lóde bá yàn náà ni ìjọba òdìkejì náà máa ní bíi mínísítà fétò ìdájọ́, ètò, ọ̀gbìn, ètò ẹ̀kọ́ àti bẹ́ẹ̀ bẹ́ẹ̀ lọ.</t>
  </si>
  <si>
    <t>Ó wòye pé ètò ìjọba tí Nàìjíríà ń lò báyìí tó jẹ́ "Presidential system of government" ni kò sí ètò fún irúfẹ́ ètò bẹ́ẹ̀ lábẹ́ òfin yìí.</t>
  </si>
  <si>
    <t>Àjáàbalẹ̀ ìròyìn BBC News Yorùbá lórí WhatsApp rẹ Darapọ̀ mọ́ wa nibì End of podcast promotion Amòfin Raji ṣàlàyé pé kò sí òfin kankan tó gbé ìjìyà kalẹ̀ fún ẹni tó bá gbé irúfẹ́ ìgbésẹ̀ yìí dìde.</t>
  </si>
  <si>
    <t>"Mi ò rò pé ó yẹ kí ìjìyà kankan yẹ kó dìde níbí ohun tó yẹ káwọn èèyàn mọ̀ ni pé èyí tí Pat Utomi ṣe yìí dàbí àwọn tí a lè ṣe àpèjúwe bíi èyí tó ń ta ìjọba jí sáwọn ojúṣe rẹ̀.</t>
  </si>
  <si>
    <t>"Nítorí gbogbo ohun tí wọ́n bá sọ kò lè fẹsẹ̀ múlẹ̀, wọn lè máa pe àkíyèsí àléébù ìjọba sáwọn èèyàn.</t>
  </si>
  <si>
    <t>Ẹni tó bá dẹ̀ nífẹ̀ẹ́ sí nǹkan tí wọ́n bá ń sọ a gbọ́ wọn, ẹni tí kò nífẹ̀ẹ́ sí wọn, a máa lọ." "Èmi ò lérò pé ó yẹ kí ìjọba fẹ́ fi ìyà jẹ wọ́n fún nǹkankan, tí ìjọba bá ṣe ìyẹn, wọ́n fẹ́ máa pèrò sórí nǹkan tí wọ́n ń ṣe nìyẹn.</t>
  </si>
  <si>
    <t>Kí ìjọba máa bá iṣẹ́ rẹ̀ lọ, kí wọ́n gbé ọ̀rọ̀ ti wọn sí ẹ̀gbẹ́ kan." Lára nǹkan tí Pat Utomi ní ìgbìmọ̀ ìṣèjọba òun yóò máa ṣe ni láti ṣe àgbéyẹ̀wò àwọn ètò tí yóò mú ìrúgọ́gọ́ bá ètò ọrẹ̀ ajé Nàìjíríà, bí ètò ààbò máa ṣe fẹsẹ̀ múlẹ̀ àti àtúntò ìwé òfin òfin Nàìjíríà.</t>
  </si>
  <si>
    <t>Bákan náà ló ní àwọn yóò rí sí ọ̀rọ̀ ìlera, ẹ̀kọ́, òfin, ìdàgbàsókè àwọn ohun amáyédẹ́rùn àti ṣíṣe àmójútọ àwọn ètò ìjọba.</t>
  </si>
  <si>
    <t>Nígbà tó ń sọ̀rọ̀ lórí ìdí tí Pat Utomi ṣe ní àwọn fi gbé ìjọba òdìkejì náà sílẹ̀, Amòfin Raji ní lábẹ́ ètò ìṣèjọba àwaarawa tí Nàìjíríà ń lò, kò sí ẹni tí kò lè pe àkíyèsí ìjọba sáwọn kùdìẹ̀kudiẹ tó bá ń wáyé.</t>
  </si>
  <si>
    <t>Ó ní èèyàn kò nílò láti pè é ní ìjọba òdìkejì "shadow government" kó tó le ṣe gbogbo àwọn nǹkan tí Pat Utomi sọ náà.</t>
  </si>
  <si>
    <t>Ó wòye pé ọ̀pọ̀ ẹgbẹ́ ní Nàìjíríà ló ń sọ̀rọ̀ sí gbogbo ìgbésẹ̀ àti ètò ìjọba pàápàá láwọn ọ̀nà tó ń gbà kó ìpalára bá àwọn aráàlú.</t>
  </si>
  <si>
    <t>"Gbogbo àwọn ẹlẹ́gbẹ́jẹgbẹ́ ló ń sọ̀rọ̀, ẹgbẹ́ òkè ọya wọ́n ń sọ̀rọ̀, àwọn ẹgbk Afenifere wọ́n ń sọ̀rọ̀… kálukú ń sọ tẹnu rẹ̀, ẹni tí kò lẹ́gbẹ́ kankan náà lè sọ̀rọ̀.</t>
  </si>
  <si>
    <t>"Lára nǹkan tí wọ́n ń wí ni pé ìwé òfin tí à ń lò yìí kò da, kò lè mú wa dé ibìkankan, gbogbo àwọn nǹkan yẹn ààyè wà fun lábẹ́ òfin, kálukú le sọ pé ìjọba kò ṣe eléyìí dáadáa, báyìí ni kí ẹ ṣe ṣé, ààyè ṣùgbọ́n kí a wá ní ìjọba ìdákọ́ńkọ́, kò sí ohun tó jọ ọ́.</t>
  </si>
  <si>
    <t>Ṣáájú kí ètò ìṣèjọba àwaarawa tó padà sípò ní Nàìjíríà lọ́dún 1999, ìjọba "shadow government" máa ń wáyé lásìkò àwọn ológun bí ó tilẹ̀ jẹ́ pé wọn ò fìdí múlẹ̀ tó bẹ́ẹ̀.</t>
  </si>
  <si>
    <t>Ọ̀pọ̀ àwọn ètò àti ìgbésẹ̀ àwọn ológun láwọn tí wọ́n ń ṣèjọba lábẹ́nú máa ń ní ipa le lórí tó fi mọ́ ọ̀rọ̀ òṣèlú.</t>
  </si>
  <si>
    <t>Láwọn àsìkò yìí, àwọn kan tí wọ́n ní agbára lórí ètò ìlú máa ń dá sí ọ̀rọ̀ ìlú tí ọ̀rọ̀ wọn tàbí ìgbésẹ̀ wọn sì máa ń ní ipa gidi.</t>
  </si>
  <si>
    <t>Ṣùgbọ́n ètò shadow government kìí ṣe àjòjì sáwọn ilẹ̀ Africa kan bíi Benin, Ghana, Kenya, Mozambique àti Zimbabwe.</t>
  </si>
  <si>
    <t>Ní orílẹ̀ èdè Benin, Ààrẹ Patrice Talon wà lára àwọn tó jẹ́ olùdásílẹ̀ shadow government kó tó di ààrẹ orílẹ̀ èdè náà lọ́dún 2016.</t>
  </si>
  <si>
    <t>Gbogbo ọjọ kin-in-ni oṣu Karun-un ọdun ni ayajọ awọn oṣiṣẹ lagbaaye, eyi lo fa a ti awọn ẹgbẹ oṣiṣẹ orilẹede Naijiria naa ṣe darapọ mọ awọn akẹgbẹ wọn kari aye lati sami ayẹyẹ naa.</t>
  </si>
  <si>
    <t>Ṣugbọn idunnu ko si lọkan awọn oṣiṣẹ yii.</t>
  </si>
  <si>
    <t>Wọn fi ibanujẹ ọkan wọn han sijọba ni gbagede Eagle Square, to wa niluu Abuja, nibi ti ayẹyẹ naa ti waye.</t>
  </si>
  <si>
    <t>Aarẹ ẹgbẹ oṣiṣẹ, (NLC) lorilẹede Naijiria, Joe Ajaero ati Festus Osifo(TUC), koro oju si ijọba Naijiria, pẹlu alaye pe ko yẹ ki oṣiṣẹ tun di atọrọjẹ lẹyin iṣẹ ti wọn n ṣe.</t>
  </si>
  <si>
    <t>Wọn ni ṣugbọn o ṣe ni laanu pe ohun ti oṣiṣẹ Naijiria n koju ree.</t>
  </si>
  <si>
    <t>Ajaero sọ pe idaro ara awọn fun wahala ati idaamu tawọn oṣiṣẹ Naijiria n koju lawọn tori rẹ peju si gbagede.</t>
  </si>
  <si>
    <t>O ni bo ṣe jẹ pe ẹgbẹ awọn oṣiṣẹ lo ja fun eto ominira to, sibẹ, awọn oṣiṣẹ naa lo tun n jẹ ìyà to pọ ju.</t>
  </si>
  <si>
    <t>Kọmureedi Ajaero sọ pe ẹkunwo tijọba ṣe nipa owo oṣu, ti wọn ni wọn yoo maa san ẹgbẹ̀rún laadọrin (70,000) ko to rara.</t>
  </si>
  <si>
    <t>Ajaero ṣalaye pe owo naa ko too ra irẹsi apo kan.</t>
  </si>
  <si>
    <t>Gẹgẹ bo ṣe wi, ijọba to n fi ara ni araalu naa ko ni i wa bẹẹ titi lae.</t>
  </si>
  <si>
    <t>Bakan naa ni Ajaero fi kun un pe awọn oṣiṣẹ ti iya n jẹ ko ni i dakẹ.</t>
  </si>
  <si>
    <t>O ni awọn yoo maa pariwo inira tijọba n mu ba oṣiṣẹ ni.</t>
  </si>
  <si>
    <t>Lara awọn alakalẹ ẹtọ ti ẹgbẹ oṣiṣẹ kede lọjọ naa pe awọn n fẹ lati ọdọ ijọba ni: Ajaero tesiwaju pe asiko niyi fawọn ẹgbẹ́ oṣiṣẹ lati ja fun  ẹtọ wọn.</t>
  </si>
  <si>
    <t>O rọ wọn lati ma ṣe sọ ireti nu, labẹẹ  bo ti wu ko ri.</t>
  </si>
  <si>
    <t>Kaka bẹẹ, o ni ki wọn ṣe ara wọn loṣuṣu ọwọ lati ja ajaṣẹgun ni.</t>
  </si>
  <si>
    <t>Akori ayẹyẹ ayajọ ọjọ oṣiṣẹ ti ọdun yii ni wọn pe ni ''igbayegbadun oṣiṣẹ pẹlu bi ilu ṣe le koko.'' Ayajọ ọjọ oṣiṣẹ ti ọdun yii waye lasiko ti ọwọngogo gbode ti ọrọ aje orilẹede Naijiria si n ṣojojo.</t>
  </si>
  <si>
    <t>Àjáàbalẹ̀ ìròyìn BBC News Yorùbá lórí WhatsApp rẹ Darapọ̀ mọ́ wa nibì End of podcast promotion Lati igba ti Aarẹ Bola Tinubu ti yọ owo iranwọ ori epo kuro ni ọwọngogo ti gbode ti atijẹ atimu ṣi le koko fun araalu.</t>
  </si>
  <si>
    <t>Eyi lo jẹ kawọn oṣiṣẹ beere fun alekun owo oṣu tori owo ti wọn n gba ko to gbọ bukata mọ.</t>
  </si>
  <si>
    <t>Bo tilẹ jẹ pe ijọba apapọ ti buwọlu N70,000 gẹgẹ bi owo osu oṣiṣẹ to kere julọ, ajọ aladaani kan ti orukọ rẹ n jẹ BudgIT sọ pe ipinlẹ mẹtadinlogun pere lo ti bẹrẹ si ni san owo oṣu to kere julọ naa bayii.</t>
  </si>
  <si>
    <t>Ajọ naa ni ọgunlọgọ ileeṣẹ aladaani ni ko tii bẹrẹ si ni san owo oṣu naa titi ti asiko yii.</t>
  </si>
  <si>
    <t>Awọn ẹka ẹgbẹ oṣiṣẹ lawọn ipinlẹ kaakiri Naijiria sọ pe ọwọngogo gbode lo jẹ ko ṣe pataki lati ṣe alekun owo oṣu awọn oṣiṣẹ ni kiakia.</t>
  </si>
  <si>
    <t>Alaga ẹgbẹ oṣiṣe ti ẹka ipinlẹ Oyo, Kọmureedi Kayode Martins, sọ pe iṣoro ọwọngogo ti araalu n koju ko yọ awọn oṣiṣẹ naa silẹ.</t>
  </si>
  <si>
    <t>Kọmureedi Martins ni awọn oṣiṣẹ lo fara kaasa awọn eto ijọba to jẹ ki nnkan le koko julọ, o ni ọwọngogo to gbode ko jẹ kawọn oṣiṣẹ le gbe igbe aye to rọrun.</t>
  </si>
  <si>
    <t>Alaga NLC l'Oyo ni owo oṣu tawọn osiṣẹ n gba lasiko ijọba Tinubu ko to lati ra nnkan ti wọn nilo mọ.</t>
  </si>
  <si>
    <t>O ni owo ounjẹ ati owo ọkọ lọ sibi iṣẹ ti pọju, ohun lo si n gbe owo awọn oṣiṣẹ lọ ju.</t>
  </si>
  <si>
    <t>Kọmureedi Funmi Sessi ti i ṣe alaga ẹgbẹ NLC nipinlẹ Eko naa kọminu lori ọwọngogo nnkan to gbode ati bi ijọba ko ṣe wa ojutuu si ọrọ naa.</t>
  </si>
  <si>
    <t>O ni owo ile, owo ọkọ, owo ile ẹkọ fawọn ọmọ ati owo ounjẹ ti gara fun ọpọlọpọ oṣiṣẹ ni Naijiria.</t>
  </si>
  <si>
    <t>Kọmureedi Sessi o ṣeni laanu pe ijọba ko ri nnkankan ṣe si bi owo nnkan se n lọ soke ti ko si walẹ rara.</t>
  </si>
  <si>
    <t>Alaga ẹgbẹ oṣiṣe TUC nipinlẹ Ogun, Kọmureedi Akeem Lasisi, ko si nnkan koriya fawọn osiṣẹ lati ṣe ayẹyẹ ayajọ ọjọ oṣisẹ lọdun yii pẹlu bi ilu ṣe ri.</t>
  </si>
  <si>
    <t>Ninu ọrọ rẹ, Aarẹ ile aṣofin agba l'Abuja, Godswill Akpabio, gboṣuba rabandẹ fawọn oṣiṣẹ fun iṣẹ takuntakun ti wọn n ṣe fun idagbasoke ọrọ aje orilẹede Naijiria.</t>
  </si>
  <si>
    <t>Akpabio ni awọn oṣiṣẹ Naijiria jara mọ iṣẹ bẹẹ ni wọn kii sii kaarẹ lẹnu iṣẹ nigba kankan.</t>
  </si>
  <si>
    <t>Aarẹ ile aṣofin agba sọ ninu atẹjade to fi sita lati ọwọ oludamọran rẹ lori ilukoro ati eto iroyin, Eseme Eyiboh, pe ''awa aṣofin mọ riri iṣẹ ribiribi tawọn oṣiṣẹ Naijiria n ṣe fun idagbasoke ọrọ aje orilẹede wa.</t>
  </si>
  <si>
    <t>Mo yin wọn fun ifarada wọn pẹlu bi gbogbo nnkan ṣe ri lọwọ yii pẹlu ọrọ aje Naijiria.</t>
  </si>
  <si>
    <t>Bo tilẹ jẹ pe oniruuru ipenija lo n koju ọrọ aje wa, ẹyin oṣiṣẹ si ni igi lẹyin ọgba ọrọ aje Naijiria.</t>
  </si>
  <si>
    <t>Isẹ ti ẹ n ṣe pataki fun idagbasoke ati ilọsiwaju orilẹede Naijiria.'' Ninu ọrọ tiẹ, aya aarẹ orilẹede Naijiria, Sẹnẹtọ Oluremi Tinubu, ki awọn oṣiṣẹ fun atilẹyin ti wọn n ṣe fun ọrọ aje Naijiria.</t>
  </si>
  <si>
    <t>''Kaakiri orilẹede Naijiria, bo ya oṣiṣẹ ijọba ni o tabi ti aladaani, awọn oṣiṣẹ ni opomulero idagbasoke ọrọ aje orilẹede Naijiria.</t>
  </si>
  <si>
    <t>Mo ki gbogbo oṣiṣẹ lọkunrin lobinrin ti wọn n ṣiṣẹ lojoojumọ fun idagbasoke ọrọ aje Naijiria, mo si ki wọn ku ayajọ ọjọ oṣiṣẹ ti ọdun yii,'' Tinubu lo sọ bẹẹ ninu atẹjade kan to fi sita.</t>
  </si>
  <si>
    <t>Aya aarẹ ni ayẹyẹ ayajọ ọjọ oṣiṣẹ ti ọdun yii n ran ni leti iṣepataki fifun gbogbo eeyan lanfaani lati ṣiṣẹ lai ṣegbe lẹyin ẹnikan.</t>
  </si>
  <si>
    <t>Nibayii ariwo to tun n kaakiri ni pe boya lara awọn gomina to n gbero lati fi ẹgbẹ oṣelu wọn silẹ ni Gomina ipinlẹ Ọṣun, Sẹnetọ Ademọla Adeleke.</t>
  </si>
  <si>
    <t>Amọṣa awọn ọmọ igbimọ iṣejọba ni ipinlẹ Ọṣun ti sọ pe ọrọ apar ani irufẹ ọrọ bẹẹ nitori pe gomina Adeleke ko nibi re rara ju ẹgbẹ oṣelu PDP to wa.</t>
  </si>
  <si>
    <t>Nibi ipade pẹlawọn akọroyin kan ti wọn ṣe lọ̀jọ Aje ni ilu Oṣogbo, awọn ọmọ igbimọ iṣakoso ijọba ni ipinlẹ Ọṣun ṣalaye pe irọ nla ni ọrọ to n ja ranyinranyin kaakiri pe o ṣeeṣe ki Gomina Ademọla Adeleke naa bẹ kija kuro lẹgbẹ oṣelu PDP lọ dara pọ mọ Aarẹ Tinubu lẹgbẹ oṣelu APC.</t>
  </si>
  <si>
    <t>Ninu ọrọ rẹ, Họnọrebu Dosu Babatunde to duro gẹgẹbi akọwe fun awọn ọmọ igbimọ iṣakoso ijọba ipinlẹ naa ṣalaye pe awọn ti ko ni arojinlẹ ninu irinajo oṣelu lo le sọ pe awọn n fi ẹgbẹ oṣelu PDP silẹ l si ẹgbẹ oṣelu miran.</t>
  </si>
  <si>
    <t>Ẹgbẹ Oṣelu APC ni Gomina Adeleke pẹlu ti kuro wa si ẹgbẹ oṣelu PDP lẹyin iku ẹgbọn rẹ, Isiaka Adeleke to jẹSẹnetọ lẹgbẹ oṣelu naa nigba naa lọhun.</t>
  </si>
  <si>
    <t>Ṣaaju ni gomina ipinlẹ Delta, Sheriff Oborevwori atawọn ololufẹ rẹ ti fi ẹgbẹ oṣelu PDP silẹ gba APC lọ.</t>
  </si>
  <si>
    <t>Awọn to ṣe agbatẹru iwọde naa ṣalaye pe ohun to wa fun ni lati pe fun eto iṣejọba ti yoo maye dẹrun fun araalu.</t>
  </si>
  <si>
    <t>Awọn to ṣe agbekalẹ ifehonuhan ọhun ti sọ fawọn eeyan ṣaaju wí pe ki wọn ko ara jọ pọ lawọn ibikan kaakiri Naijiria lati le kopa ninu iwọde naa.</t>
  </si>
  <si>
    <t>Wọn ni awọn tun fẹ lo iwọde ọhun lati fopin si bíi ijọba ṣe n lo ofin lori iwa ọdaran ori ayelujara lati pa araalu lẹnu mọ.</t>
  </si>
  <si>
    <t>Akori iwọde naa ni won pè ni "ifẹhonuhan tako eto iṣejọba to n ni araalu lara ati titẹ ẹtọ araalu lati sọrọ mọlẹ" gẹgẹ bi awọn to sagbatẹru iwọde naa ti ṣalaye.</t>
  </si>
  <si>
    <t>Oludari ẹgbẹ 'Take it back Movement', Kọmureedi Sanyaolu Juwon at'awọn abẹnugan mii ninu ẹgbẹ naa, sọ pe ofin lori iwa ọdaran ori ayelujara ni ijọba n lo lati mu awọn akọroyin, awọn ajafẹtọọ at'awọn ọmọ Naijiria lapapọ.</t>
  </si>
  <si>
    <t>Awọn olufẹhonuhan naa n kepe ijọba lati fagile ofin yii lati le daabo bo ẹtọ araalu gẹgẹ bi o ti wa ninu iwe ofin Naijiria.</t>
  </si>
  <si>
    <t>Wọn ni awọn ko ni dẹkun ṣiṣe ifẹhonuhan titi ti ijọba yoo fi fagile ofin naa.</t>
  </si>
  <si>
    <t>Ileeṣẹ orilẹede Naijiria ni iwọde yii n kọ awọn lominu.</t>
  </si>
  <si>
    <t>Alukoro ileeṣẹ ọlọpaa, Olumuyiwa Adejobī, ṣalaye ninu atẹjade kan ti o fi sita wí pe iwọde naa n kọ awọn lominu tori ọjọ keje oṣu Kẹrin ti ijọba ti yà sọtọ fún ayajọ awọn ọlọpaa lawọn olufẹhonuhan mu lati ṣe iwọde wọn.</t>
  </si>
  <si>
    <t>Adejobi ni Ọga agba ileeṣẹ ọlọpaa Naijiria, Kayode Egbetokun, bọwọ fun ẹtọ araalu, amọ, o fẹ k'awọn oluwọde gba ọna to tọ labẹ ofin lati sọ ohun tí wọn n fẹ lọdọ ijọba.</t>
  </si>
  <si>
    <t>O ni ọga ọlọpaa wa rọ gbogbo awọn oluwọde lati jiroro pẹlu ijọba lori ohun tí wọn n beere.</t>
  </si>
  <si>
    <t>Ifẹhonuhan waye kaari orilẹede Naijiria gẹgẹ bi awọn to ṣe agbatẹru rẹ ṣe pinnu.</t>
  </si>
  <si>
    <t>A gbọ pe awọn ọlọpaa wa pẹlu awọn to n ṣewọde lawọn ipinlẹ kan.</t>
  </si>
  <si>
    <t>Nipinlẹ Eko, awọn oluwọde bẹrẹ ifẹhonuhan lati agbegbe Ikeja, wọn si rin lọ ileeṣẹ ijọba tó wa ni Alausa lati ibẹ.</t>
  </si>
  <si>
    <t>Ọpọ ninu wọn lo mu beba ti wọn kọ oriiṣiriṣii nnkan ti wọn n beere si dani.</t>
  </si>
  <si>
    <t>Ni ìpínlẹ̀ Rivers, awọn oluwọde f'ẹsẹ fẹ niluu Port Harcourt lẹyin tàwọn ọlọpaa yin tajutaju lati tu wọn ka.</t>
  </si>
  <si>
    <t>Fidio kan to wa lori ayelujara tiẹ ṣafihan bi ọlọpaa kan ṣe n yin tajutaju si aarin awọn olufẹhonuhan ni Port Harcourt.</t>
  </si>
  <si>
    <t>Bakan naa ni ọmọ ṣori niluu Abuja tíì ṣe olu ilu orilẹede Naijiria.</t>
  </si>
  <si>
    <t>Ohun tí a gbọ ni pe awọn ọlọpaa yin tajutaju lati tu awọn oluwọde ka l'Abuja bakan naa.</t>
  </si>
  <si>
    <t>Makinde ni igbiyanju ijọba oun lati mu ọrọ-aje ipinlẹ Oyo gbooro si naa ti n so eso rere pẹlu bawọn ileeṣẹ aladaani ti n gberu si.</t>
  </si>
  <si>
    <t>Gomina ni ọpọ awọn ileeṣẹ aladaani naa lo ti n fẹsẹ mulẹ daadaa kaakiri ipinlẹ Oyo bayii.</t>
  </si>
  <si>
    <t>Makinde fọrọ yii lede lasiko tawọn ọba alaye, awọn musulumi, awọn ojiṣẹ Ọlọrun atawọn to di ipo kan tabi omiran mu ninu ijọba ṣe abẹwo si i nile rẹ to wa lagbegbe Ikolaba niluu Ibadan fun ayẹyẹ ọdun itunu awẹ.</t>
  </si>
  <si>
    <t>Awọn alẹnulọrọ lagbo oṣelu bii Otun Olubadan ti ilẹ Ibadan, Sẹnẹtọ Rashidi Ladoja, Oloye Sharafabdeen Alli to jẹ sẹnẹtọ to n ṣoju ẹkun guusu Oyo, igbakeji alaga gbogbogbo ẹgbẹ oṣelu PDP, Taofeek Arapaja ati Ọjọgbọn Kamil Oloso ti igbakeji gomina ipinlẹ Oyo, Abdulraheem Bayo Lawal, dari wọn wa lara awọn to ṣabẹwo si Makinde nile rẹ.</t>
  </si>
  <si>
    <t>Makinde ni idagbasoke ati ọrọ aje ipinlẹ Oyo to fẹsẹ mulẹ bayii ko ṣẹyin alaafia ati ibagbepọ pẹlu iṣọkan to wa laarin awọn eeyan ipinlẹ naa.</t>
  </si>
  <si>
    <t>Àjáàbalẹ̀ ìròyìn BBC News Yorùbá lórí WhatsApp rẹ Darapọ̀ mọ́ wa nibì End of podcast promotion Gomina ko ṣai rọ araalu lati tubọ maa gbe pọ ni alaafia si, ki idagbasoke le ba ipinlẹ Oyo siwaju si.</t>
  </si>
  <si>
    <t>''Ti a ba le ba ara wa gbe pẹlu iṣọkan ati alaafia, ilọsiwaju ati idagbasoke yoo ba ipinlẹ wa.</t>
  </si>
  <si>
    <t>Ohun to n ṣẹlẹ lọwọ bayii niyẹn ni ipinlẹ Oyo, ti a ba ni suuru, gbogbo nnkan ti a fẹ ṣe ni yoo di ṣiṣe ni irọrun.</t>
  </si>
  <si>
    <t>Lara nnkan ti a fẹ ni pe ki eto ọrọ aje wa nipinlẹ Oyo fẹsẹ mulẹ daadaa.</t>
  </si>
  <si>
    <t>Ni bayii, lọsẹ mẹrin-mẹrin, owo bii ₦24bn lo n wọ inu ọrọ aje wa nipasẹ owo oṣu awọn oṣiṣẹ.</t>
  </si>
  <si>
    <t>₦14bn ni a fi n sanwo oṣu awọn oṣiṣẹ ipinlẹ, nigba ti ₦10bn n ba owo oṣu awọn oṣiṣẹ ijọba ibilẹ lọ loṣooṣu,'' Makinde lo sọ bẹẹ.</t>
  </si>
  <si>
    <t>Makinde fikun ọrọ rẹ pe ọpọ oniṣowo lo ti n wa dokowo bayii lai si ifoya.</t>
  </si>
  <si>
    <t>Gomina ipinlẹ Oyo wa rọ awọn alaṣẹ to dipo oṣelu mu ni Naijiria lati ṣe daadaa fun awọn araalu tori ilu ko fara rọ lasiko yii.</t>
  </si>
  <si>
    <t>Ninu ọrọ tiẹ, Olubadan ti ilẹ Ibadan, Oba Owolabi Olakulehin, ẹni ti Otun Olubadan, Rashidi Ladoja ṣoju rẹ, rọ awọn eeyan ipinlẹ Oyo lati ni suuru pẹlu ijọba ki wọn si maa sọ ireti nu.</t>
  </si>
  <si>
    <t>Igbakeji gomina ipinlẹ Oyo naa lu gomina lọgọ ẹnu lori bii ijọba rẹ ṣe n sanwo oṣu awọn oṣiṣẹ deedee ati lori bi o ṣe n fi ibẹru Ọlọrun ati otitọ ṣe ijọba.</t>
  </si>
  <si>
    <t>Kọmiṣọna fun iroyin nipinlẹ naa, Kolapo Alimi, juwe ipe ẹgbẹ oṣelu APC fun ilu o fararọ ni Osun gẹgẹ bii iwa imotaraẹni nikan ati eyii ti ko ba ofin mu.</t>
  </si>
  <si>
    <t>Bakan naa, agbẹnusọ PDD ni Osun, Oladele Bamiji, fi ẹsun kan APC pe ni ṣe ni ẹgbẹ naa  n wa ọna lati fi ipa gba agbara ijọba ipinlẹ Osun lọwọ Adeleke.</t>
  </si>
  <si>
    <t>Ti ẹ ko ba gbagbe, rogbodiyan bẹ silẹ nipinlẹ Osun laarin ọsẹ diẹ sẹyin ṣaaju eto idibo ijọba ibilẹ, nibi ti eeyan mẹfa ti padanu ẹmi wọn ti won si gbe awọn ọọfisi kansu kan tipa nibẹ.</t>
  </si>
  <si>
    <t>Wayi o, Kọmiṣọna fun iroyin nipinlẹ Osun, Kolapo Alimi, ti sọ pe iyatọ gedegbe wa laarin ohun to ṣẹlẹ nipinlẹ Rivers ati eyii to waye l'Osun.</t>
  </si>
  <si>
    <t>Kọmiṣọna naa gba APC nimọran lati dẹkun igbiyanju lati da omi alaafia ipinlẹ Osun ru latari igbiyanju rẹ lati fi ọna ẹburu gba agbara ijọba.</t>
  </si>
  <si>
    <t>O ni "Mo ti ka ohun ti ẹni to n fi ipa wa agbara ati ẹni to maa n sorọ ṣakaṣaka, Sẹnetọ Ajibola Basiru sọ pe o yẹ ki Aarẹ Tinubu kede ilu o fararọ ni Osun gẹge bo ṣe ṣe nipinlẹ Rivers.</t>
  </si>
  <si>
    <t>"Mo fẹ ki a mọ pe kii ṣe Basiru nikan lo ni irufẹ erongba yii lọkan bi ko ṣe gbogbo APC lapapọ atawọn alatilẹyin wọn ni Osun to jẹ pe ojojumọ ni wọn n wa ọna eburu lati gba ipo iṣakoso ijọba.</t>
  </si>
  <si>
    <t>"Ṣugbọn lagbara Ọlọrun ati atilẹyin araalu fun ijọba Ademola Adeleke, gbogbo igbiyanju wọn yoo ja si pabo." Lẹyin naa lo ke si Aarẹ Bola Tinubu ko ma naani igbiyanju awọn eeyan to ba n ko orin irufẹ igbeṣe bẹẹ si leti.</t>
  </si>
  <si>
    <t>Adajọ agba Naijiria, Lateef Fagbemi, lo sọ ọrọ yii ninu ifọrọwerọ kan pẹlu awọn akọroyin nile ijọba to wa niluu Abuja.</t>
  </si>
  <si>
    <t>Fagbemi sọ pe "Ki ni ẹyin ro pe o yẹ ko ṣe?</t>
  </si>
  <si>
    <t>Se o gbọdọ duro titi ti gbogbo nnkan yoo fi dojuru ni?</t>
  </si>
  <si>
    <t>Mi o ro bẹẹ o.</t>
  </si>
  <si>
    <t>"Mo gbagbọ pe Aarẹ gbe igbesẹ to yẹ lasiko to yẹ, o ti fun gbogbo awọn ti ọrọ naa kan lasiko to to lati yanju aawọ aarin wọn.</t>
  </si>
  <si>
    <t>O ti pe wọn tẹlẹ, o ti gbiyanju lati pari aawọ naa.</t>
  </si>
  <si>
    <t>O ṣalaye pe awọn ẹgbẹ ọmọ ogun Niger Delta ti n kọlu ọpa epo to wa ni Rivers, eyii to jẹ ikoko ọbẹ gbogbo Naijiria, nitori naa ko si ohun to kan ju ki Aarẹ gbe igbesẹ lati pa ina rogbodiyan naa niwọn igba ti gomina ipinlẹ ọhun kawọ gbera.</t>
  </si>
  <si>
    <t>Ọjọ Iṣẹgun ọsẹ yii ni Aarẹ kede ilu o fararọ nipinlẹ Rivers, to si ni ki gomina Siminalayi Fubara, igbakeji rẹ Ngozi Odu, ati ile igbimọ aṣofin ipinlẹ naa lọ rọọkun nile fun oṣu mẹfa gbako.</t>
  </si>
  <si>
    <t>Ninu ọrọ ti Aarẹ ba araalu sọ lalẹ ọjọ naa, o ni eredi igbesẹ oun ko ṣẹyin gudugbẹ to ṣeeṣe ko ja lulẹ ni bẹ.</t>
  </si>
  <si>
    <t>Wahala bẹrẹ ni Rivers lati igba ti fa ki n fa ti n waye laarin gomina ipinlẹ ọhun ati gomina tẹle, to tun jẹ minisita fun FCT bayii, Nyesom Wike, amọ ọrọ naa ti ta ba gbogbo araalu ipinlẹ naa bayii.</t>
  </si>
  <si>
    <t>Ẹwẹ, ọpọ ọmọ Naijiria, ẹgbẹ alatako atawọn agbẹjọro lo ti bu ẹnu atẹ igbesẹ Aarẹ Tinubu ọhun.</t>
  </si>
  <si>
    <t>Wọn ni ko ba ofin mu bi Tinibu ṣe kede ilu o frarọ nib ẹ ati bo ṣe da gomina ti ilu dibo yan duro.</t>
  </si>
  <si>
    <t>Bi awọn kan ṣe n sọ pe ohun ti Aarẹ ṣe ko bojumu, lawọn mii n sọ pe igbesẹ naa tọ lati pana rogbodiyan to n rugbo bọ nipinlẹ ọhun lasiko yii.</t>
  </si>
  <si>
    <t>Lara awọn to ti sọrọ soke ni ẹgbẹ oṣelu PDP, igbakeji Aarẹ Naijiria tẹlẹ, Atiku Abubakar, ajafẹtọọmọniyan, Omoyele Sowore, ẹgbẹ awọn agbẹjọro, NBA atawọn araalu mii.</t>
  </si>
  <si>
    <t>Lara awọn ohun ti wọn n sọ ree.</t>
  </si>
  <si>
    <t>Nigba to n sọrọ loju opo X rẹ lẹyin ikede Aarẹ, Atiku Abubakar ti oun funra rẹ ti fi ọpọ igba du ipo naa ri sọ pe ohun ti Tinubu ṣe ko daa to.</t>
  </si>
  <si>
    <t>Atiku ni igbesẹ Tinubu ko ni nnkankan lati ṣe pẹlu idagabsoke ijọba awarawa ati ilọsiwaju ipinlẹ Rivers.</t>
  </si>
  <si>
    <t>Gẹgẹ bo ṣe sọ, ijọba Tinubu wa lara awọn to ṣokunfa rogbodiyan ipinlẹ Rivers, nitori naa, niṣe lo yẹ ko gba ẹbi rẹ dipo ko maa mọọmọ fi iya jẹ awọn eeyan ipinlẹ ọhun.</t>
  </si>
  <si>
    <t>O ni "Ẹnikẹni to ba n tẹle ohun to n ṣẹlẹ ni Rivers yoo mọ pe Bola Tinubu lọwọ ninu rogbodiyan oṣelu to waye nibẹ latari bo ṣe kọ lati tete gbe igbesẹ lati pana wahala ọhun.</t>
  </si>
  <si>
    <t>"Yatọ si ọrọ oṣelu, ojuṣe Aarẹ ni lati yanju eto abo to dagẹgẹ nibẹ ko to di pe wọn n ba dukia ilu jẹ.</t>
  </si>
  <si>
    <t>"O jẹ ohun ibanujẹ pe lasiko Tinubu ni wahala tun bẹ silẹ lagbegbe Niger Delta bii asiko ijọba Umaru Yar'Adua." Atiku pari ọrọ rẹ pe kii ṣe ikede ilu o fararọ ni Rivers lo kan, o si yẹ ki gbogbo ọmọ Naijiria bu ẹnu atẹ lu igbesẹ ọhun.</t>
  </si>
  <si>
    <t>Ninu atẹjade kan lọjọ Iṣẹgun, ẹgbẹ awọn agbẹjọro ni Naijiria, NBA, ti kede pe ko ba ofin mu ki Aarẹ ṣadede kede ilu o fararọ ni ipinlẹ kan ko si yọ gomina ibẹ nipo.</t>
  </si>
  <si>
    <t>Aarẹ ẹgbẹ ọhun, Mazi Afam Osigwe, SAN, lo fi ọrọ naa lede ninu atẹjade kan.</t>
  </si>
  <si>
    <t>Atẹjade ọhun sọ pe "Yiyọ nipo gomina Fubara, igba igbakeji rẹ ati idaduro ile igbimọ asọfin lodi si ofin, igbesẹ naa si lewu fun ijọba awara ni Naijiria." NBA ni Aarẹ ko le kede ilu o fararọ ayafi ti ogun ba bẹ silẹ, ti ogun ba n kan ilẹkun lati ilẹ okere tabi ti rogbodiyan ba bẹ silẹ silẹ eyii to le da omi alaafia Naijiria ru nikan ni Aarẹ le kede ilu o fararọ.</t>
  </si>
  <si>
    <t>Ẹgbẹ ọhun sọ pe niwọn igba ti awọn nnkan wọnyii ko tii ṣẹlẹ, ko lẹtọọ fun Aare Tinubu lati kede ilu o fararọ ko si ni ki gomian lọ maa sinmi nile.</t>
  </si>
  <si>
    <t>Ẹwẹ, ọpọ araalo lo ti n sọ pe ikede ilu o fararọ ni Rivers, kaka bẹẹ niṣe lo yẹ ki awọn ọmọ Naijiria funra wọn kede ilu fafarọ lori iṣejọba Bola Ahmed Tinubu.</t>
  </si>
  <si>
    <t>Níbi ọ̀rọ̀ tí ààrẹ bá àwọn ọmọ orílẹ̀ èdè Nàìjíríà sọ ní àṣálẹ́ ọjọ́ Ìṣẹ́gun, ọjọ́ Kejìdínlógún, oṣù Kẹta ló ti sọ̀rọ̀ náà.</t>
  </si>
  <si>
    <t>Tinubu ní làásìgbò òṣèlú tó ń wáyé ní ìpínlẹ̀ náà láti bíi oṣù mélòó kan sẹ́yìn ń kọ òun lóminú.</t>
  </si>
  <si>
    <t>Ó ní gbogbo ìgbìyànjú òun láti ri pé ìfaǹfà náà wá sópin ló já sí pàbó.</t>
  </si>
  <si>
    <t>Lẹ́yìn tí ààrẹ kéde ìlú ò fararọ ní ìpínlẹ̀ náà ló ní kí gómìnà Siminalayi Fubara àti igbákejì rẹ̀, Ọ̀jọ̀gbọ́n Ngozi Odu lọ rọ́kún nílé fún oṣù mẹ́fà.</t>
  </si>
  <si>
    <t>Bákan náà ló ní gbogbo àwọn tí wọ́n dìbò yàn sílé aṣòfin ìpìnlẹ́ náà lọ rọ́kún nílé lóṣù mẹ́fà.</t>
  </si>
  <si>
    <t>Ààrẹ ní nǹkan ìbànújẹ́ ló jẹ́ pé ìjọba ìpínlẹ̀ Rivers wo ilé aṣòfin láti bíi ọdún kan àbọ̀, tí wọn kò sì rí nǹkankan ṣe si títí di àsìkò yìí.</t>
  </si>
  <si>
    <t>The APC again took the matter to the Court of Appeal, where judgment was delivered on February 10, 2030</t>
  </si>
  <si>
    <t>Ó ní láti ìgbà tí wọ́n ti ń bá ara wọn fa ìfaǹfà ni kò tis í ìlọsíwájú kan gbòógì ní ìpínlẹ̀ náà nítorí wọn kò jẹ́ kí àwọn ará ìlú jẹ múkùndún ìjọba àwaarawa.</t>
  </si>
  <si>
    <t>Ó ní òun kò lè máa wòran, gẹ́gẹ́ bí ààrẹ, kí nǹkan máa bàjẹ́ ní orílẹ̀ èdè òun, èyí ló sì mú òun láti tẹ̀lé ìwé òfin tó fi ààyè gba òun láti kéde ìlú ò fararọ.</t>
  </si>
  <si>
    <t>Gẹ́gẹ́ bí ìkéde ààrẹ, Vice Admiral Ibokette Ibas ni yóò máa ṣe àkóso ìpínlẹ̀ Rivers láti alẹ́ yìí lọ.</t>
  </si>
  <si>
    <t>Tinubu ní ìkéde òun yìí kò kan ẹ̀ka ìdájọ́, tí ẹ̀ka náà sì ní àǹfàní láti máa bá iṣẹ́ wọn lọ.</t>
  </si>
  <si>
    <t>Ó ní alákòso ìpínlẹ̀ Rivers tuntun yìí, kò ní àǹfàní láti ṣe ]ofin tuntun kankan fún ìgbà tó bá fi wà nípò àmọ́ tó lè gbé àwọn ìlànà kalẹ̀ èyí tí ìjọba àpapọ̀ nílò láti buwọ́lu.</t>
  </si>
  <si>
    <t>Nwakuche, nígbà tó ń bá ìgbìmọ̀ tó ń rí sí ọ̀rọ̀ abẹ́lé Nàìjíríà ní ilé ìgbìmọ̀ aṣòfin àgbà sọ̀rọ̀, sọ pé àwọn gómìnà kìí fẹ́ buwọ́lu pípa àwọn tí ilé-ẹjọ́ ti dájọ́ ikú fún tàbí yí ìdájọ́ náà padà sí ẹ̀wọ̀n gbére.</t>
  </si>
  <si>
    <t>Ó ní iye àwọn ẹlẹ́wọ̀n tí ilé ẹjọ́ ti dájọ́ ikú fún ti tó wà láwọn ọgbà ẹ̀wọ̀n káàkiri Nàìjíríà ni wọ́n ti pé 3,688 báyìí àmọ́ ti ohunkóhun kò ṣẹlẹ̀ sí wọn.</t>
  </si>
  <si>
    <t>Ó kọminú pé èyí mú àwọn ọgbà ẹ̀wọ̀n máa kún ju bí ó ṣe yẹ lọ àti pé àwọn nílò ìgbésẹ̀ ní kíákíá láti mú àdínkù bá iye èèyàn tó wà ní àwọn ọgbà ẹ̀wọ̀n.</t>
  </si>
  <si>
    <t>Ó wòye pé táwọn gómìnà bá buwọ́lu pípa àwọn ẹlẹ́wọ̀n tí wọ́n dájọ́ ikú fún náà tàbí yí ìdájọ́ wọn padà sí ẹ̀wọ̀n gbére yóò ṣe ìrànwọ́ fún mímú àdínkù bá èrò tó pọ̀ jù láwọn ọgbà ẹ̀wọ̀n.</t>
  </si>
  <si>
    <t>Lábẹ́ ìwé òfin ìwà ọ̀daràn Nàìjíríà, ìwà ìpànìyàn, ìgbéṣùmọ̀mí, ìdigunjalè, ṣíṣe ìrànlọ́wọ́ fún ìpànìyàn lọ́nà àìtọ́, ìdìtẹ̀gbàjọba jẹ́ àwọn ẹ̀ṣẹ̀ tí ilé ẹjọ́ fi le gbé ìdájọ́ ikú kalẹ̀ fún ọ̀daràn.</t>
  </si>
  <si>
    <t>Tí ilé ẹjọ́ bá ti lè rí àwọn láti fìdí rẹ̀ múlẹ̀ pé ẹni tí wọ́n fẹ̀sùn kàn jẹ̀bi ọ̀kan nínú àwọn ìwà tó wà lókè yìí, adájọ́ ní àṣẹ láti dájọ́ ikú fún irú ẹni bẹ́ẹ̀.</t>
  </si>
  <si>
    <t>Gẹ́gẹ́ bí abala kẹtàlélọ́gbọ̀n ìwé òfin Nàìjíríà ṣe sọ, aláboyún tàbí ọmọdé tí ọjọ́ orí rẹ̀ kò ì tíì pé ọdún méjìdílógún ni òfin yọ sílẹ̀ bíi ẹni tí wọ́n le dájọ́ ikú fún, tí wọ́n fìdí rẹ̀ múlẹ̀ pé ó jẹ̀bi àwọn ẹ̀sùn yìí.</t>
  </si>
  <si>
    <t>Ẹ̀wọ̀n gbére ni wọ́n máa fi aláboyún àti ọmọdé bẹ́ẹ̀ sí.</t>
  </si>
  <si>
    <t>Gẹ́gẹ́ bí òfin, ọ̀nà mẹ́rin ni wọ́n lè gbà láti fi pa ẹni tí wọ́n bá dájọ́ ikú fún.</t>
  </si>
  <si>
    <t>Ó le jẹ́ nípa yíyẹgi fún èèyàn, èyí tí wọ́n máa so ọrùn ọ̀daràn náà mọ́ òkè títí tí ẹ̀mí yóò fi bọ́ lọ́rùn rẹ̀ tàbí kí wọ́n fi ẹ̀yìn rẹ̀ ti àgbá tí wọ́n sì máa yìnbọn pa á.</t>
  </si>
  <si>
    <t>Ọ̀nà mìíràn ni nípa sísọ òkúta lu ọ̀daràn títí ẹ̀mí yóò fi bọ́ lọ́rùn rẹ̀.</t>
  </si>
  <si>
    <t>Èyí tó gbẹ̀yìn tí ìjọba Nàìjíríà buwọ́lu lọ́dún 2015 ni fífún ọ̀daràn lábẹ́rẹ́ ikú kí ẹ̀mí fi tètè bọ́ lọ́rùn rẹ̀ láì jẹ ìrora tó pọ̀.</t>
  </si>
  <si>
    <t>Ó ṣàlàyé pé àkọ́kọ́ ni adájọ́ tó gbé ìdájọ́ náà kalẹ̀.</t>
  </si>
  <si>
    <t>Ó ní adájọ́ gbọdọ̀ sọ ọ̀nà tí wọ́n máa gbà láti pa ọ̀daràn tí wọ́n bá dájọ́ ikú fún.</t>
  </si>
  <si>
    <t>Lẹ́yìn náà ló kan gómìnà tó máa buwọ́lu àṣẹ ilé ẹjọ́ láti ọ̀daràn bẹ́ẹ̀ lẹ́yìn tí àwọn aláṣẹ ọgbà ẹ̀wọ̀n bá gbé ìwé ẹni bẹ́ẹ̀ lọ síwájú rẹ̀.</t>
  </si>
  <si>
    <t>Ẹni tó gbẹ̀yìn ni ẹni tí yóò ṣekúpa ọ̀daràn tí wọ́n bá dájọ́ ikú fún.</t>
  </si>
  <si>
    <t>Collins ṣàlàyé pé ní kété tí òfin bá ti gbé ìdájọ́ kalẹ̀, ó pọn dandan fún àwọn aláṣẹ láti ṣàgbékalẹ̀ ìlànà tí ìdájọ́ náà fi máa wá sí ìmúṣẹ ní ìlànà àti ìbámu pẹ̀lú òfin.</t>
  </si>
  <si>
    <t>Ó ní tí òfin bá sọ pé nípa yíyẹgi ni kí wọ́n fi pa ọ̀daràn, wọn ò gbọdọ̀ ṣe àmúlò ìlànà mìíràn, táwọn aláṣẹ sì gbọdọ̀ wá ẹni tí yóò ṣe àmúṣẹ ìdájọ́ ọ̀hún.</t>
  </si>
  <si>
    <t>Ó fi kun pé àwọn ẹ̀ṣẹ̀ kàn wá, bíi ìdìtẹ̀gbàjọba, tí àwọn gómìnà kò láṣẹ lórí rẹ̀, pé ìjọba àpapọ̀ nìkan ló ní àṣẹ láti buwọ́lu pípa ẹni bẹ́ẹ̀.</t>
  </si>
  <si>
    <t>Nítorí àwọn ajàfẹ́tọ̀ọ́ ọmọnìyàn ni ọ̀pọ̀ àwọn gómìnà kìí fẹ́ buwọ́lu ìdájọ́ ikú fáwọn ọ̀daràn.</t>
  </si>
  <si>
    <t>Dípò bíbuwọ́lu ìdájọ́ ikú wọn, wọ́n máa ń fi wọ́n kalẹ̀ sí ọgbà ẹ̀wọ̀n láì ní gbèdéke kankan.</t>
  </si>
  <si>
    <t>Kí wọ́n tó lè pa ọ̀daràn lọ́gbà ẹ̀wọ̀n kan, wọ́n nílò láti gba àṣẹ lọ́wọ́ gómìnà ìpínlẹ̀, tó sì jẹ́ pé ọ̀pọ̀ gómìnà ni kìí tọwọ́bọ ìwé àṣẹ náà.</t>
  </si>
  <si>
    <t>Láti ọ̀gbà ẹ̀wọ̀n tí ọ̀daràn náà bá wà ni wọ́n ti máa gbé ìwé náà ránṣẹ́ sí gómìnà fún ìbuwọ́lù.</t>
  </si>
  <si>
    <t>Amòfin Adata Bio-Briggs sọ fún BBC pé ọ̀pọ̀ àwọn gómìnà kìí fẹ́ buwọ́lu ìwé náà nítorí ó ṣòro láti buwọ́lu pé kí wọ́n lọ pa èèyàn.</t>
  </si>
  <si>
    <t>Amòfin náà ṣàlàyé nǹkan mìíràn tó fi máa ń ṣòro fáwọn gómìnà láti buwọ́lu ìdájọ́ ikú nib í wọ́n ṣe máa ń kó àwọn ẹlẹ́wọ̀n tí wọ́n bá dájọ́ ikú fún láti ìpínlẹ̀ kan lọ sí òmíràn.</t>
  </si>
  <si>
    <t>Ó ní òfin fi ààyè gba àwọn aláṣẹ ọgbà ẹ̀wọ̀n láti kó àwọn ẹlẹ́wọ̀n tí wọ́n wà lábẹ́ ìdájọ́ ikú láti ìpínlẹ̀ kan lọ sí òmíràn.</t>
  </si>
  <si>
    <t>Ó ní gómìnà ìpínlẹ̀ tí wọ́n sì ti ṣe ìdájọ́ ẹlẹ́wọ̀n sì ni ó láṣẹ láti buwọ́lu ìdájọ́ ẹni bẹ́ẹ̀.</t>
  </si>
  <si>
    <t>Ó ní ìdíwọ́ ni fún gómìnà láti buwọ́lu ikú ẹni tí kò sí ní ìpínlẹ̀ rẹ̀, tí gómìnà ìpínlẹ̀ míì kò sì lè sẹ é.</t>
  </si>
  <si>
    <t>Nǹkan mìíràn tó lè ṣe ìdíwọ́ pípa ẹni tí wọ́n dájọ́ ikú fún ni tí kò bá sí ẹni tí yóò pa ọ̀daràn náà.</t>
  </si>
  <si>
    <t>Gẹ́gẹ́ bí a ṣe sọ ṣáájú pé ipele mẹ́ta ni ọ̀nà pípa ọ̀daràn máa ń gbà wáyé.</t>
  </si>
  <si>
    <t>Ọ̀pọ̀ àwọn ajàfẹ́tọ̀ọ́ ọmọnìyàn ló ti ń pè fún pé kí ìjọba pa òfin pípa èèyàn rẹ́ ní Nàìjíríà dípò bẹ́ẹ̀ kí wọ́n máa fi àwọn ọ̀darà sẹ́wọn gbére.</t>
  </si>
  <si>
    <t>Wọ́n ní pípa ọ̀daràn kò ní sọ pé kí ẹni tó ti kú dìde àmọ́ wọ́n yóò lo gbogbo ìgbé àye tó kù nínú ẹ̀wọ̀n.</t>
  </si>
  <si>
    <t>Jandor sọrọ yii lori eto ileeṣẹ tẹlifisan Channels kan ti wọn n pe ni ''Politics Today'' lalẹ ana ọjọ Iṣẹgun.</t>
  </si>
  <si>
    <t>Ṣaaju ni ibẹrẹ ọsẹ yii ni Jandor kede wi pe oun ti fi ẹgbẹ oṣelu PDP silẹ.</t>
  </si>
  <si>
    <t>''Nigba to n sọrọ lori eto naa, Jandor ni ''eto idibo gbogbogbo ọdun 2023 Jandor ni ayipada ba oju tawọn eeyan fi n wo eto idibo lẹyin ti Peter Obi oludije sipo aarẹ fẹgbẹ LP la Bola Tinubu mọlẹ wọle ibo aarẹ nipinlẹ Eko lọdun 2023.</t>
  </si>
  <si>
    <t>Ti ẹ o ba gbagbe, ajọ INEC kede Sanwo-Olu ẹgbẹ oṣelu APC gẹgẹ bii ẹni to jawe olubori ninu ibo gomina ipinlẹ Eko ọdun 2023.</t>
  </si>
  <si>
    <t>Àjáàbalẹ̀ ìròyìn BBC News Yorùbá lórí WhatsApp rẹ Darapọ̀ mọ́ wa nibì End of podcast promotion Ajọ INEC kede pe ibo 762,134 ni Sanwo-Olu ri ti Gbadebo Rhodes-Vivour Oludije ẹgbẹ oṣelu LP to ṣe ipo keji ri ibo 312,329 nigba ti Ọgbẹni Adediran ṣe ipo kẹta pẹlu ibo 62,449.</t>
  </si>
  <si>
    <t>Ninu ibo aarẹ to waye ṣaaju ibo gomina nipinlẹ Eko, Obi to jawe olubori ninu eto idibo naa ri ibo 582,454 nigba ti Tinubu tẹle e pẹlu ibo 572,606.</t>
  </si>
  <si>
    <t>Atiku Abubakar to jẹ oludije ẹgbẹ oṣelu PDP lo ṣe ipo kẹta pẹlu ibo 75,750.</t>
  </si>
  <si>
    <t>Jandor ni ọrọ Obi ti ọpọ gbe sori lojiji lo ṣiṣẹ tako PDP ninu ibo gomina ọdun 2023 l'Eko.</t>
  </si>
  <si>
    <t>Ọgbẹni Adediran ṣalaye wi pe ṣaaju eto idobo gbogbogbo ọdun 2023 ni PDP ti n ko ọpọ eeyan jọ ti APC ko si le figa gbaga pẹlu awọn.</t>
  </si>
  <si>
    <t>O ni ọpọ eto ni oun lọ gẹgẹ bii oludije fun ipo gomina PDP ṣaaju eto idibo eyi ti Sanwo-Olu ko yọju sibẹ rara.</t>
  </si>
  <si>
    <t>Jandor ni oun ati Sanwo-Olu lawọn jọ n fa a ki ibo aarẹ to de nibi ti Obi ti wọle eyi to si mu ayipada ba gbogbo nnkan ṣaaju ibo gomina nipinlẹ Eko.</t>
  </si>
  <si>
    <t>Oludije sipo gomina PDP lọdun 2023 ṣalaye pe aṣeyori Obi ninu ibo aarẹ l'Eko lo jẹ ki ọpọ eeyan dibo fun ẹgbẹ oṣelu LP ninu ibo gomina eyi to ṣakoba fun PDP.</t>
  </si>
  <si>
    <t>Jandor ni PDP gẹgẹ bi ẹgbẹ oṣelu ko ni igbagbọ ninu ara rẹ mọ latari aawọ to n ṣẹlẹ ninu ẹgbẹ naa.</t>
  </si>
  <si>
    <t>Nigba to n sọrọ lori eto ileeṣẹ tẹlifisan Channels kan ti wọn n pe ni ''Politics Today,'' Ọgbẹni Adediran sọ pe wahala to n ṣẹlẹ ninu PDP lati oke gan an lo mu oun fi ẹgbẹ naa silẹ.</t>
  </si>
  <si>
    <t>Jandor ni fun bi oṣu meloo kan loun ronu lori igbesẹ yii ki oun to kede pe oun ti kuro ninu ẹgbẹ PDP.</t>
  </si>
  <si>
    <t>O ni awọn aṣiwaju inu ẹgbẹ oṣelu PDP loke ati nipinlẹ Eko ja oun kulẹ pẹlu bo ni wọn ti n tako awọn ọmọ ẹgbẹ to n ṣiṣẹ fun ilọsiwaju ẹgbẹ.</t>
  </si>
  <si>
    <t>Jandor lo eto ipolongo ibo rẹ lọdun 2023 bi apẹẹrẹ ọna tawọn agbaagba ẹgbẹ naa fi ja a kulẹ.</t>
  </si>
  <si>
    <t>Oludije sipo gomina PDP nipinlẹ lọdun 2023 sọ pe awọn ọmọ ẹgbẹ oṣelu naa kan lẹdi apo pọ mọ ẹgbẹ alatako lati kọju ija soun.</t>
  </si>
  <si>
    <t>O ni ọpọ agba ẹgbẹ oṣelu PDP nipinlẹ Eko ni wọn ri ipo toun wa gẹgẹ bi oludije sipo gomina bii nnkan to le ṣakoba fun wọn.</t>
  </si>
  <si>
    <t>Jandor ranti bawọn janduku ṣe kọlu u lasiko ipolongo ibo ti awọn agbaagba ẹgbẹ ko si sọ ohun kan lori iṣẹlẹ naa.</t>
  </si>
  <si>
    <t>Ọgbẹni Adediran fikun ọrọ rẹ pe Oloye Bode George to jẹ ọkan lara awọn aṣiwaju ẹgbẹ n ṣatilẹyin fun ẹlomiran lati ṣoju PDP gẹgẹ bii oludije sipo gomina fẹgbẹ PDP ninu ibo ọdun 2023.</t>
  </si>
  <si>
    <t>Jandor ni oun ko tii le sọ ẹgbẹ oṣelu ti oun yoo darapọ bayii, o ni oun yoo maa kede rẹ lọjọ iwaju.</t>
  </si>
  <si>
    <t>Lọjọ Aje, ọjọ Kẹta oṣu Keji ọdun 2025 yii ni nnkan yipada, Obasa de pada sile igbimọ aṣofin Eko, awọn asọfin to yọ ọ nipo tẹlẹ si tun dibo fun un lati maa ṣe olori ile lọ.</t>
  </si>
  <si>
    <t>Ọnarebu Noheem Adams to n ṣoju ẹkùn Eti-Osa lo fa Obasa kalẹ pe ki wọn dibo fun un, Ọnarebu Nureni Akinsanya lati Mushin si ṣe ikeji aba naa.</t>
  </si>
  <si>
    <t>Lẹyin eyi ni awọn ọmọ ile igbimọ to ku naa kin wọn lẹyin, wọn ni ki Mudashiru Obasa maa ba iṣẹ rẹ lọ gẹgẹ bii olori ile igbimọ aṣofin Eko.</t>
  </si>
  <si>
    <t>Lọjọ Aje naa ni Mojisola Meranda to ti n dipo naa mu latigba ti wọn ti yọ Obasa kuro nipo ọhun.</t>
  </si>
  <si>
    <t>Awọn ẹsun to ni i ṣe pẹlu ajẹbanu, ai ka ijokoo ile kun, jijẹ gaba lori awọn eeyan rẹ ati bẹẹ bẹẹ lọ ni wọn fi kan an nigba naa.</t>
  </si>
  <si>
    <t>Ninu fidio kan to wa lori ayelujara, eyi ti Mudashiru Obasa ṣe lẹyin to gba ipo rẹ pada lọjọ Aje naa lo ti dupẹ lọwọ awọn eeyan to ti i lẹyin lasiko wahala.</t>
  </si>
  <si>
    <t>Lẹyin to dupẹ lọwọ awọn aṣofin ile fun ifẹ ati aduroti  wọn, Obasa tun darukọ Oloye Bisi Akande, gomina Osun tẹlẹ, ati Arẹmọ Olusegun Osoba, gomina Ogun nigba kan.</t>
  </si>
  <si>
    <t>O loun dupẹ fun idasi awọn baba naa, ati awọn agbaagba mi-in ti wọn yanju ọrọ yii.</t>
  </si>
  <si>
    <t>Lẹyin naa ni wọn sun ijokoo ipade siwaju lai ni gbedeke.</t>
  </si>
  <si>
    <t>Ìyànsípò rẹ̀ yìí ló ń wáyé lẹ́yìn tí Mojisola Meranda kọ̀wé fipò rẹ̀ sílẹ̀ gẹ́gẹ́ bí olórí ilé lọ́jọ́ Ajé, ọjọ́ Kẹta, oṣù Kẹta, ọdún 2025.</t>
  </si>
  <si>
    <t>Lẹ́yìn tí Meranda, ẹni tó ń ṣojú ẹkùn Apapa I kọ̀wé fipò rẹ̀ sílẹ̀ ni àwọn aṣòfin náà tún yàn-án padà sípò igbákejì olórí ilé.</t>
  </si>
  <si>
    <t>Obasa ni wọ́n búra fún gẹ́gẹ́ bí olórí ilé lẹ́yìn ọ̀sẹ̀ mẹ́fà tí wọ́n yọ ọ́ nípò lọ́jọ́ Kẹtàlá, oṣù Kìíní ọdún 2025.</t>
  </si>
  <si>
    <t>Àwọn ẹ̀sùn tí wọ́n kà sí Obasa lọ́rùn tí wọ́n fi yọ ọ́ nípò ni pé ó ń ṣe owó ìlú kúmọkùmọ àti pé, dídarí ilé lọ́nà tí kò tọ̀nà àti ìwà àjẹbánu.</t>
  </si>
  <si>
    <t>Àjáàbalẹ̀ ìròyìn BBC News Yorùbá lórí WhatsApp rẹ Darapọ̀ mọ́ wa nibì End of podcast promotion Lẹ́yìn tí wọ́n yọ Obasa ni ọ̀pọ̀ àwọn aṣòfin náà yan Meranda gẹ́gẹ́ bí olórí ilé, tí wọ́n sì búra wọlé fún-un lẹ́sẹ̀kẹsẹ̀.</t>
  </si>
  <si>
    <t>Ọdún 2007 ni wọ́n kọ́kọ́ dìbò yan Obasa sílé aṣòfin Eko, tó sì di olórí ilé láti ọdún 2015 kó tó di pé wọn yọ ọ́ nínú oṣù Kìíní, ọdún 2025.</t>
  </si>
  <si>
    <t>Ọ̀pọ̀ àwọn aṣòfin náà ni wọ́n kan sáárá sí Meranda fún ipa rẹ̀ fún ìgbà péréte tó lò gẹ́gẹ́ bí olórí ilé àti mímú àlááfíà bá ilé aṣòfin náà.</t>
  </si>
  <si>
    <t>Bákan náà ni wọ́n yìn-ín  lákin fún bí ó ṣe tẹ̀lé òfin àti ìlànà ẹgbẹ́ òṣèlú All Progressives Congress, APC lórí wáhàlá tó ń wáyé ní ilé aṣòfin náà.</t>
  </si>
  <si>
    <t>Meranda kọ̀wé fipò sílẹ̀ lẹ́yìn tó ṣe ìpàdé pẹ̀lú àwọn èèkàn kan lẹ́gbẹ́ òṣèlú All Progressives Congresives tẹ̀ka ìpínlẹ̀ Eko tó bá wọn dá sí aáwọ̀ tó ń wayé ní ilé aṣòfin Eko.</t>
  </si>
  <si>
    <t>Ní ọ̀sẹ̀ tó kọjá ni Obasa sọ pé bí wọ́n ṣe yọ òun nípò kò lẹ́sẹ̀ nílẹ̀ nítorí àwọn aṣòfin náà kò tẹ̀lé ìlànà àti òfin tó yẹ láti yọ òun.</t>
  </si>
  <si>
    <t>Ó ní òun ṣì ni olórí ilé aṣòfin lábẹ́ òfin àti pé òun ti padà sí ilé láti máa bá iṣẹ́ òun lọ.</t>
  </si>
  <si>
    <t>Awọn olugbe Ipinlẹ Ondo dibo yan Gomina Lucky Orimisan Aiyedatiwa ni ọjọ kerindinlogun oṣu kọkanla ọdun 2024.</t>
  </si>
  <si>
    <t>Eto Iburawọle naa waye ni papa isere ilu Akure lẹyin ti wọn burawọle fun Gomina Aiyedatiwa nibi oṣu mẹrinla sẹyin lẹyin ipapoda Gomina ana nipinlẹ Ondo Arakunrin Oluwarotimi Akeredolu.</t>
  </si>
  <si>
    <t>Lasiko to n ba awọn ara ilu sọrọ nibi eto naa Aiyedatiwa sọ pe ni ibamu pẹlu ajọyọ ati agbara ra rẹ ni ibamu pẹlu ofin, ohun daraji awọn ọdaran  metadinlogoji.</t>
  </si>
  <si>
    <t>Aiyedatiwa sọ pe awọn ọdaran naa ni wọn ti lo lara saa to yẹ ki wọn lo loriko ikọnilọgbọn nipinlẹ Ondo ti wọn yoo si maa lọ ile wọn layọ ati alaafia ni kete ti Kọmisọna feto idajọ ati adajọ agba ba pari gbogbo eto lori idariji naa.</t>
  </si>
  <si>
    <t>Gomina sọ pe asiko ti to lati gbe Ipinlẹ Ondo lọ ipele tio ga.</t>
  </si>
  <si>
    <t>O gboriyin fun awọn adari Ipinlẹ Ondo latẹyin wa fun isẹ takuntakun ti wọn ti gbe ṣe pẹlu ileri pe ohun yoo tẹsiwaju lati mu idagbasoke to yanranti ba Ipinlẹ Ondo.</t>
  </si>
  <si>
    <t>Bẹẹni O gboriyin fun Gomina ana nipinlẹ yi Arakunrin Oluwarotimi Akeredolu, O sapejuwe rẹ gẹgẹ bi akikanju eniyan ati adari to ni afojusun rere fun Ipinlẹ Ondo ati Naijiria lapapọ.</t>
  </si>
  <si>
    <t>Lasiko to n ba awọn olugbe Ipinlẹ Ondo sọrọ lori afojusun rẹ fun ọdun mẹrin saa rẹ eyi to gberasọ loni, Gomina Lucky Aiyedatiwa sọpe isejọba rẹ yoo gbajumọ afosun oniga meje to pe ni 'IRỌRUN WA' "OUR EASE".</t>
  </si>
  <si>
    <t>Aiyedatiwa sọ pe ohun yoo gbajumọ eto igbayegbadun awọn ara ilu papa julọ awọn to ku diẹ ka to fun lawujọ.</t>
  </si>
  <si>
    <t>O sọ pe ni ibamu pẹlu afojusun oniga meje rẹ, isejọba rẹ yoo gbajumọ eto aabo awọn ara ilu.</t>
  </si>
  <si>
    <t>Aiyedatiwa salaye rẹ pe wọn yoo sagbekale eto lati le jẹ ki awọn ara ilu ni ifọkanbalẹ lori awọn esọ alaabo, ti awọn esọ alaabo yoo si ma ji giri si isẹ wọn lasiko ti rogbodiyan ba suyọ.</t>
  </si>
  <si>
    <t>Aiyedatiwa tun seleri pe ijọba rẹ yoo se igbe larugẹ eto ọgbin, ti wọn yoo si samulo awọn ohun to sodo si agbegbe ori omi nipinlẹ Ondo, ki ise le wa lọpọ yanturu fun awọn ọdọ nipa agbekale okan-n-jokan ileeṣẹ.</t>
  </si>
  <si>
    <t>O tun salaye pe eto ilera to yanranti yoo wa fun gbogbo awọn ara ilu, ti wọn yoo si maa se idanilẹkọ ati ilanilọyẹ to yanranti fun gbogbo awọn ara ilu.</t>
  </si>
  <si>
    <t>Aiyedatiwa sọ pe gbogbo eniyan ni yoo lanfaani seto ilera to yanranti.</t>
  </si>
  <si>
    <t>Gomina tun seleri pe gbogbo olugbe Ipinlẹ Ondo ni yoo lanfaani si ina manamana to duro re, to si salaye pe ijọba rẹ yoo tẹsiwaju lati maa sagbekale Metre lowo ti ko ga ju ara lọ fun awọn ara ilu.</t>
  </si>
  <si>
    <t>Gomina Aiyedatiwa sọ pe ijọba rẹ yoo tun gbajumọ eto igbayegbadun awọn ara ilu, pẹlu ilẹri pe ohun yo pari gbogbo isẹ akanse to n lọ lọwọ ati awọn eyi ti wọn yoo bẹrẹ laipẹ laarin sa ọdun mẹrin eyi to gberasọ loni.</t>
  </si>
  <si>
    <t>Awọn eekan ilu to wa nibi iburawọle naa ni, Alaga ẹgbẹ Oṣelu APC lorileede yi Abdullahi Ganduje, Gomina Ipinlẹ Eko, Babajide Sanwoolu, ojugba rẹ nipinlẹ Ekiti Abiodun Oyebanji, Minisita fọrọ abẹle Olubunmi Tunji-Ojo to fi mọ awọn miran.</t>
  </si>
  <si>
    <t>Ọjọ kejilelogun, osu Keji, ọdun 2025, ni idibo sipo alaga ijọba Ibilẹ ati kanselọ waye l'osun.</t>
  </si>
  <si>
    <t>Ko ju wakati mẹta lọ ti gbogbo eto idibo naa ti pari.</t>
  </si>
  <si>
    <t>Kika esi idibo naa lo waye ninu ọgba ile ijọba ipinlẹ Osun to wa ni agbegbe Oke-fia niluu Osogbo.</t>
  </si>
  <si>
    <t>Eyi waye nitori bi awọn ọlọpaa ṣe ti ofiisi ajọ eleto idibo pa, ti a ko si ti mọ oun to sokunfa eyii.</t>
  </si>
  <si>
    <t>Bakan naa ni ẹgbẹ oselu PDP lo tun jawe olubori nibi ibo awọn kanselọ naa.</t>
  </si>
  <si>
    <t>Ti gbogbo kanselọ naa si jẹ 332.</t>
  </si>
  <si>
    <t>Alaga ajọ eleto idibo, Hashim Abioye, rọ gbogbo wọn, ki wọn maa ṣe gbagbe gbogbo ileri ti wọn ṣe ni akoko ipolongo idibo wọn fun awọn ara iluu.</t>
  </si>
  <si>
    <t>Àjáàbalẹ̀ ìròyìn BBC News Yorùbá lórí WhatsApp rẹ Darapọ̀ mọ́ wa nibì End of podcast promotion Orukọ awọn to jawe olubori gẹgẹ bi alaga, ati ijọba ibilẹ wọn: 1.</t>
  </si>
  <si>
    <t>Abala mi-in to tun n ja ran-in nilẹ bayii ninu iwe naa ni apa ibi ti Babangida ti paṣẹ pe ki wọn yinbọn pa ọrẹ igba ewe rẹ, Ọgagun Mamman Vatsa ati awọn ṣọja mẹsan-an mi-in loṣu Kẹta ọdun 1986.</t>
  </si>
  <si>
    <t>Ẹsun igbimọpọ lati gba ijọba lọwọ IBB to wa lori aleefa nigba naa ni wọn fi kan Vatsa toun ati Babangida ti n ṣe ọrẹ bọ lati Minna nigba ti won wa ni kekere.</t>
  </si>
  <si>
    <t>Ẹsun naa ni IBB sọ pe o foju han kedere pe Vatsa lọwọ nibẹ, ati pe oun gan-an lo sanwo fun awọn ṣọja yooku lati wa ọna ti wọn yoo fi ditẹ gba ijọba mọ oun lọwọ.</t>
  </si>
  <si>
    <t>Mi o gba gbọ, mo ro pe ahesọ ni.</t>
  </si>
  <si>
    <t>''Ṣugbọn a bẹrẹ si i fimu finlẹ gẹgẹ bi ologun lati mọ otitọ, mo si pe Vatsa funra rẹ, mo beere lọwọ rẹ, o sọ fun mi pe irọ ni.</t>
  </si>
  <si>
    <t>''Aṣe Vatsa lo n fun awọn ṣọja to fẹẹ lo lowo iṣẹ iditẹgbajọba naa.</t>
  </si>
  <si>
    <t>''O fun Lt-Col.Musa Bitiyong, ni ẹgbẹrun lọna aadọta naira (N50,000.) Bitiyong jẹwọ pe oun gba owo lọwọ rẹ, ṣugbọn Vatsa sọ pe owo iṣẹ oko kan to fẹẹ ṣe loun san fun un.</t>
  </si>
  <si>
    <t>'' Lara ohun ti wọn tun fẹẹ ṣe nigba naa ni jiju bọmbu si ori afara Eko, ki wọn si gbabọde lori awọn nnkan ini ileeṣẹ ọlogun to ṣe pataki'' IBB sọ pe inu oun bajẹ nigba toun ri i pe Vatsa lọwọ ninu ipinnu naa, ṣugbọn ẹnikẹni to ba gbiyanju iditẹgbajọba ninu ologun to si kuna, ti mọ ohun ti yoo ṣẹlẹ si i.</t>
  </si>
  <si>
    <t>''O dun mi bii ẹlẹran ara, o si ko irẹwẹsi ọkan ba mi.</t>
  </si>
  <si>
    <t>Ṣugbọn o di dandan ki wọn ku gẹgẹ bi ofin iṣẹ ologun.</t>
  </si>
  <si>
    <t>Ninu ki n padanu ọrẹ mi igba ewe tabi ki n ko gbogbo Naijiria si iyọnu ni mo wa, mo gbọdọ mu ọkan ninu mejeeji ni'' Bẹẹ ni IBB ṣalaye.</t>
  </si>
  <si>
    <t>Àjáàbalẹ̀ ìròyìn BBC News Yorùbá lórí WhatsApp rẹ Darapọ̀ mọ́ wa nibì End of podcast promotion Ọkan lara awọn mọlẹbi Oloogbe Ọgagun Vatsa to pe orukọ rẹ ni Jonathan, ti fi ibinu rẹ han si Babangida nipa alaye rẹ naa.</t>
  </si>
  <si>
    <t>Jonathan sọ pe bi wọn ṣe pa ẹgbọn oun ko yẹ rara.</t>
  </si>
  <si>
    <t>" Ohun ti mo ti n sọ tipẹ ni pe wọn pa a lai lẹtọọ ni, ko yẹ ko ku rara.</t>
  </si>
  <si>
    <t>Ko si idi pataki kan fun wọn lati pa a.</t>
  </si>
  <si>
    <t>''Koda ko tiẹ jẹ pe ile ẹjọ ologun dajọ iku fun un, o ṣi lẹtọọ lati pe ẹjọ Ko-tẹ-mi-lọrun, ko tiẹ too pe ẹjọ naa rara ni won ti pa a, wọn kede pe wọn ti pa a  ni wakati kan ṣaaju igba yẹn.</t>
  </si>
  <si>
    <t>'' Ki lo n kan wọn loju lati pa alaiṣẹ?'' Jonathan sọ pe ki i ṣe nitori Naijiria ni wọn ṣe pa Vatsa, o ni won ri i  pe o le ṣakoba fawọn ni wọn ṣe pa a.</t>
  </si>
  <si>
    <t>O ni won ko ni i le ṣe ohun ti won fẹ bi Vatsa ba wa laye ni wọn ṣe pa a.</t>
  </si>
  <si>
    <t>"Babangida ni lati tọrọ aforiji to pọ lọwọ awon ọmọ Naijiria fun gbogbo aburu to ti ṣe si wọn.</t>
  </si>
  <si>
    <t>Aforiji nikan si kọ, o gbọdọ ṣe atunṣe, ko si da gbogbo ohun to ti fi  ona èrú gba lọwọ awọn ọmọ Naijiria pada'' Bẹẹ ni mọlẹbi Oloogbe Ọgagun Vatsa wi.</t>
  </si>
  <si>
    <t>Babangida ni oun ko deede fagile ibo June 12, 1993, ko le baa da fun Naijiria ni.</t>
  </si>
  <si>
    <t>Ni itẹsiwaju alaye to ṣe pe Oloogbe MKO Abiola lo wọle ibo ọhun, Babangida sọ pe labẹ akoso oun ni gbogbo aṣiṣe ọdun mejilelọgbọn naa ti waye.</t>
  </si>
  <si>
    <t>Aarẹ tẹlẹ naa ṣalaye pe ṣugbọn ko le baa daa fun gbogbo Naijiria lapapọ loun ṣe fagile ibo alaafia naa.</t>
  </si>
  <si>
    <t>IBB bi wọn tun ṣe maa n pe e, sọ pe oun kabaamọ pe oun fagile ibo Abiola, nitori ohun to ṣẹlẹ naa fa ijọba Dẹmokresi sẹyin lorilẹede yii.</t>
  </si>
  <si>
    <t>" Irinajo wa si  ijọba Dẹmokresi fa sẹyin, o si dun mi gan-an.</t>
  </si>
  <si>
    <t>Ṣugbọn Naijiria bori ẹ, Dẹmokresi dẹ wa laye titi doni, eyi to n tọka si iduroṣinṣin wa, to si n fi han pe a ṣetan lati tẹsiwaju.</t>
  </si>
  <si>
    <t>" Babangida lo fi kun alaye rẹ bẹẹ.</t>
  </si>
  <si>
    <t>Ọgagun Babangida kede ọrọ yii ninu iwe ti o kọ nipa ara rẹ eyi to ṣe ifilọlẹ rẹ l'Ọjọbọ ogunjọ oṣu Keji ọdun yii niluu Abuja.</t>
  </si>
  <si>
    <t>Abiola dupo aarẹ labẹ asia ẹgbẹ oṣelu Social Democratic Party (SDP) lọdun naa.</t>
  </si>
  <si>
    <t>Babangida sọ ninu iwe naa to pe akọri rẹ ni "Irinajo Lẹnu Iṣẹ (A Journey in Service) pe Abiola la Alhaji Bashir Tofa oludije ẹgbẹ oṣelu National Republican Council (NRC) mọlẹ ninu ibo ọhun.</t>
  </si>
  <si>
    <t>''Moshood Abiola lo jawe olubori ninu ibo aarẹ ọdun 1993 lẹyin to ni ibo to le ni miliọnu mẹjọ ti o si la Tofa ẹgbẹ NRC to ni ibo miliónu marun un mọlẹ,'' Babangida lo sọ bẹẹ.</t>
  </si>
  <si>
    <t>Ninu ọrọ rẹ, Babangida ni oun ti n gbero lati fagile le esi ibo naa tipẹ.</t>
  </si>
  <si>
    <t>Babangida ni ''emi ni mo jẹbi gbogbo nnkan to ṣẹlẹ ni Naijiria lasiko naa ti mo jẹ aarẹ orilẹede Naijiria.'' Lọjọ kejila oṣu Kéfa ọdun 1993 ni oludije sipo aarẹ labẹ asia ẹgbẹ oṣelu SDP, Abiola ati Tofa to jẹ ọludije ẹgbẹ NRC dije ninu eto idibo aarẹ Naijiria.</t>
  </si>
  <si>
    <t>Baba Gana Kingibe lo dije pẹlu Abiola bii igbakeji rẹ, nigba ti Sylvester Ugoh si dije gẹgẹ bii igbakeji Tofa.</t>
  </si>
  <si>
    <t>Bo tilẹ jẹ pe, awọn onwoye ṣapuwe ibo aarẹ 1993 gẹgẹ eto idibo to wọọrọ julọ ninu itan, Ọgagun Babangida wọgile ibo, o ni eeru wa nibẹ Igbesẹ Babangida yii da wahala silẹ, o si pada kuro lori oye lọdun 1993 yii kan naa.</t>
  </si>
  <si>
    <t>Lẹyin naa ni Ernest Shonekan di aarẹ fidihẹ orilẹede Naijiria.</t>
  </si>
  <si>
    <t>Ni ọjọ kọkanla oṣu Kẹfa ọdun 1994 ni Abiola kede ara rẹ gẹgẹ bii aarẹ Naijiria niluu Eko.</t>
  </si>
  <si>
    <t>Eyi lo jẹ ki ijọba ologun Sani Abacha fẹsun iditẹmọjọba kan an ti wọn si mu un lọjọ kẹtalelogun oṣu Kẹfa ọdun 1994.</t>
  </si>
  <si>
    <t>Ọdun mẹrin ni Abiola fi wa lẹwọn, ohun ti a tiẹ gbọ ni pe wọn ko jẹ ki o lanfaani lati kawe kankan yatọ si Bibeli ati Quran.</t>
  </si>
  <si>
    <t>Abiola ku lọjọ keje oṣu Keje ọdun 1998 ni ọjọ to yẹ ko kuro lẹwọn.</t>
  </si>
  <si>
    <t>Awuyewuye lori idajọ ile ẹjọ kotẹmilọrun lori ọrọ ijọba ibilẹ ti ba ibomiran yọ lẹyin ti ọmọ ẹgbẹ oṣelu PDP meji ni ijọba ibilẹ Boripe niluu Iragbiji ku, nigba ti alaga APC kan naa dero ọrun ni ijọba ibilẹ Ayedire lonii ọjọ Aje ọjọ kétadinlogun nipinlẹ Osun.</t>
  </si>
  <si>
    <t>Laarọ ọjọ Aje lawọn alaga ijọba Ibilẹ APC ti ile ẹjọ kotẹmilọrun da lare gba awọn ofiisi awọn ìjọba ibilẹ lọ eyi to mu kawọn ọmọ ẹgbẹ PDP tako wọn ti aawọ si bẹ silẹ kaakiri ipinlẹ Osun.</t>
  </si>
  <si>
    <t>Ohun ti a ri nigba ti a ṣe abẹwo si ìjọba ibilẹ Boripe niluu Iragbiji ni wi pe, awọn ẹgbẹ oselu APC lo gba gbogbo agbegbe naa ti wọn si le awọn ẹgbẹ oselu PDP kuro ni agbegbe ijọba ibilẹ ọhun.</t>
  </si>
  <si>
    <t>Ọkan lara awọn alaga ijọba Ibilẹ ti ile ẹjọ kotẹmilọrun da lare pe ki wọn ko pada si ofiisi, Adeyemi Fatai, sọ fun BBC Yoruba pe awọn ti gba ẹtọ awọn pada lori bi ile ẹjọ kotẹmilọrun ti da wọn lare.</t>
  </si>
  <si>
    <t>O ni idibo ijọba ibilẹ ti wọn ṣe ni ọdun 2022 lo gbe gbogbo awọn wọle, ṣugbọn nigba ti Gomina Ademola Adeleke gba ìjọba lo le awọn duro.</t>
  </si>
  <si>
    <t>Ni ijọba ibilẹ Ifelodun, ẹkọ ko soju mimu rara, bi awọn jaduku ti awọn ẹgbẹ oselu PDP n lo ṣe ko oun ija oloro lọwọ, ti wọn ko si fi aye gba ọmọ ẹgbẹ oselu APC lati wọle si agbegbe naa, bakan naa ni wọn ko fi aye gba awọn akọroyin lati ya aworan kankan nibẹ rara.</t>
  </si>
  <si>
    <t>Ayo Toyosi to jẹ Alaga Ayedaade ni tiẹ sọ pe, idibo ọdun 2022 lo gbe awọn wọle, sugbọn nigba ti ijọba miran de ni ile ẹjọ giga sọ wi pe, awọn ko lẹtọ si ofiisi alaga ijọba Ibilẹ ti wọn si fi ọwọ osi juwe ile fun awọn.</t>
  </si>
  <si>
    <t>Ọgbẹni Toyosi ni eyi lo mu ki awọn gba ile ẹjọ kotẹmilọrun lọ, abọ ile ẹjọ kotẹmilọrun lo si mu ki oun ko pada si ofiisi.</t>
  </si>
  <si>
    <t>O wa rọ gbogbo awọn osisẹ ijọba ibilẹ Ayedaade ki wọn ko pada si ofiisi kowa wọn.</t>
  </si>
  <si>
    <t>Toyosi ni ẹnikeni to ba kọ eti ikun yoo padanu isẹ rẹ.</t>
  </si>
  <si>
    <t>Ninu awọn ijọba ibilẹ ọgbọn to wa nipinlẹ Ọsun ni ati gbọ wi pe, awọn ẹgbẹ oselu APC ti gba ijọba Mọkandinlogun bayii.</t>
  </si>
  <si>
    <t>Ẹwẹ, Hashim Abioye to jẹ Alaga fun eto idibo ijọba ibilẹ l'osun ti sọ pe idunkoko lasan ni eyi ti awọn ọmọ ẹgbẹ alatako APC n ṣe.</t>
  </si>
  <si>
    <t>O ni idibo awọn alaga ati kasilọ ijọba ibilẹ yoo waye ni ọjọ Kejilelogun osu Keji yii.</t>
  </si>
  <si>
    <t>Hashim tun tesiwaju wi pe, ẹgbẹ oselu mejidinlogun ni yoo ko pa ninu eto idibo ijọba ibilẹ to bọ ni ọjọ Kejilelogun osu Keji yii.</t>
  </si>
  <si>
    <t>Ọgbẹni Hashim ni awọn ti mura silẹ tan fun eto idibo naa ti gbogbo ohun elo eto idibo si ti wa nilẹ sẹpe bayi.</t>
  </si>
  <si>
    <t>O wa rọ gbogbo awọn agbofinro pe ki wọn ko wa ni oju ni alakan n fi sọri ni saaju ati ni ọjọ idibo.</t>
  </si>
  <si>
    <t>Ọgbẹni Hashim wa fi da gbogbo olugbe ipinlẹ ọsun loju wi pe ki wọn ko jade dibo ki wọn ko mọ ṣe bẹru rara.</t>
  </si>
  <si>
    <t>Ibẹru bojo gbalẹ kan nipinlẹ Osun lẹyin ti iro ibọn n dun lakọ lakọ lawọn ijọba ibilẹ kan latari aawọ tọ bẹ silẹ laarin ẹgbẹ oṣelu PDP to wa nijọba ati ẹgbẹ oṣelu alatako APC lori idajọ ile ẹjọ kotẹmilọrun.</t>
  </si>
  <si>
    <t>Awọn fọnran kan to wa lori itakun ayelujara ṣafihan bi awọn olugbe agbegbe tawọn ijọba ibilẹ wa nipinlẹ Osun ṣe n sa asala fun ẹmi wọn tawọn ontaja lagbegbe naa si n gbe ṣọọbu tipa.</t>
  </si>
  <si>
    <t>Lara awọn ijọba ibilẹ tawọn janduku kan gbiyanju lati ya wọ ni ijọba ibilẹ Boripe, Iwo, Ifelodun, Odo-Otin, Osogbo ati Olorunda.</t>
  </si>
  <si>
    <t>Ninu fidio kan to wa lori itakun ayelujara tawọn eeyan kan ṣe ni ijọba ibilẹ Ifelodun, Ikirun ni awọn kan ti n dunkoko wi pe ẹnikẹni ko ni wọle si ijọba ibilẹ naa.</t>
  </si>
  <si>
    <t>Bakan naa awọn eeyan kan duro siwaju ijọba ibilẹ Iwo ti wọn si sọ pe awọn ko ni jẹ ki ẹnikẹni lati inu ẹgbẹ oṣelu APC wọle.</t>
  </si>
  <si>
    <t>Lanaa ọjọ Aiku ọjọ kẹrindinlogun ni Gomina Ademola Adeleke ke gbajare to si fẹsun kan Gboyege Oyetola to jẹ gomina ipinlẹ Osun tẹlẹ pe o fẹ fi ipa dawọn alaga ati kansilọ ti ile ẹjọ yọ nipo pada si ọfiisi.</t>
  </si>
  <si>
    <t>Amọ, Oyetola ti sọ fun Adeleke wi pe ko bọwọ fun idajọ ile ẹjọ kotẹmilọrun niluu Akure to paṣẹ idapadasipo awọn alaga ati kansilọ naa ti wọn jẹ ọmọ ẹgbẹ osẹlu APC.</t>
  </si>
  <si>
    <t>e Àjáàbalẹ̀ ìròyìn BBC News Yorùbá lórí WhatsApp rẹ Darapọ̀ mọ́ wa nibì End of podcast promotion Níṣe ni gbogbo àwọn ìjọba ìbílẹ̀ ní ìpínlẹ̀ Osun dá paróparó bí áwọn òṣìṣẹ́ ìjọba ìbílẹ̀ ní ìpínlẹ̀ náà ṣe kọ̀ láti yọjú sí ibiṣẹ́ lẹ́yìn tí ẹgbẹ́ òṣìṣẹ́ àwọn ìjọba ìbílẹ̀, ìyẹn , NULGE ṣe darí àwọn òṣìṣẹ́ láti má lọ sí ibi iṣẹ́.</t>
  </si>
  <si>
    <t>Èyí kò ṣẹ̀yìn ìfaǹfà tó ń wáyé láàárín ẹgbẹ́ òṣèlú All Progressives Congress, APC àti Peoples Democratic Party, PDP lórí ìdájọ́ ilé ẹjọ́ Kòtẹ́milọ́rùn lórí ọ̀rọ̀ àwọn alága ìjọba ìbílẹ̀ ìpinlẹ̀ náà.</t>
  </si>
  <si>
    <t>Ní ọjọ́ Àìkú, ọjọ́ Kẹrìndínlógún, oṣù Kejì, ọdún 2025 ni ẹgbẹ́ NULGE fi àtẹ̀jáde síta pé àwọn òṣìṣẹ́ kò gbọdọ̀ lọ sí ibiṣẹ́ bẹ̀rẹ̀ láti ọjọ́ Ajé, ọjọ́ Kẹtàdínlógún.</t>
  </si>
  <si>
    <t>Àtẹ̀jáde tí ààrẹ NULGE tẹ̀ka ìpínlẹ̀ Osun, Nathaniel Kehinde Ogungbangbe fi síta ní àwọn ti ń gbọ́ nípa àwọn ìfaǹfà tó ń wáyé láàárín ẹgbẹ́ òṣèlú APC àti PDP tó sì ti ń dá inú fu àyà fu sọ́kàn àwọn òṣìṣẹ́.</t>
  </si>
  <si>
    <t>Ogungbangbe ní ẹgbẹ́ NULGE kìí dá sí ọ̀rọ̀ òṣèlú àmọ́ àwọn kò ní fi ààyè gba àwọn ọmọ ẹgbẹ́ àwọn láti ṣiṣẹ́ níbi tí kò sí ààbò.</t>
  </si>
  <si>
    <t>NULGE wá rọ gbogbo ẹgbẹ́ òṣèlú láti tẹ̀lé ìlànà òfin, kí wọ́n yé sọ àwọn ìjọba ìbílẹ̀ di pápá ìjà, kí wọ́n yé fi àwọn òṣìṣẹ́ sínú ewu.</t>
  </si>
  <si>
    <t>Àtẹ̀jáde náà ní ìbámu pẹ̀lú ìdarí ẹgbẹ́ òṣìṣẹ́ Nàìjíríà, NLC, àwọn òṣìṣẹ́ kò gbọdọ̀ lọ sí ibiṣẹ́ títí tí ààbò tó péye yóò fi wà fún wọn.</t>
  </si>
  <si>
    <t>Bákan náà ni wọ́n rọ àwọn ẹ̀ṣọ́ ààbò láti ri dájú pé wọ́n pèsè ààbò tó péye fún  ẹ̀mí àti dúkìá àwọn òṣìṣẹ́ ìjọba ìbílẹ̀.</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</si>
</sst>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Arial"/>
      <scheme val="minor"/>
    </font>
    <font>
      <b/>
      <color theme="1"/>
      <name val="Georgia"/>
    </font>
    <font>
      <color theme="1"/>
      <name val="Georgia"/>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0" fillId="0" fontId="2" numFmtId="0" xfId="0" applyAlignment="1" applyFont="1">
      <alignment shrinkToFit="0" wrapText="0"/>
    </xf>
    <xf borderId="0" fillId="0" fontId="3" numFmtId="0" xfId="0" applyAlignment="1" applyFont="1">
      <alignment shrinkToFit="0" wrapText="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5"/>
    <col customWidth="1" min="2" max="2" width="151.0"/>
    <col customWidth="1" min="3" max="4" width="8.75"/>
    <col customWidth="1" min="5" max="22" width="14.38"/>
  </cols>
  <sheetData>
    <row r="1">
      <c r="A1" s="1" t="s">
        <v>0</v>
      </c>
      <c r="B1" s="2" t="s">
        <v>1</v>
      </c>
    </row>
    <row r="2">
      <c r="A2" s="2" t="s">
        <v>2</v>
      </c>
      <c r="B2" s="2" t="s">
        <v>3</v>
      </c>
    </row>
    <row r="3">
      <c r="A3" s="2" t="s">
        <v>4</v>
      </c>
      <c r="B3" s="2" t="s">
        <v>5</v>
      </c>
    </row>
    <row r="4">
      <c r="A4" s="2" t="s">
        <v>6</v>
      </c>
      <c r="B4" s="3"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11">
      <c r="A11" s="2" t="s">
        <v>20</v>
      </c>
      <c r="B11" s="2" t="s">
        <v>21</v>
      </c>
    </row>
    <row r="12">
      <c r="A12" s="2" t="s">
        <v>22</v>
      </c>
      <c r="B12" s="2" t="s">
        <v>23</v>
      </c>
    </row>
    <row r="13">
      <c r="A13" s="2" t="s">
        <v>24</v>
      </c>
      <c r="B13" s="2" t="s">
        <v>25</v>
      </c>
    </row>
    <row r="14">
      <c r="A14" s="2" t="s">
        <v>26</v>
      </c>
      <c r="B14" s="2" t="s">
        <v>27</v>
      </c>
    </row>
    <row r="15">
      <c r="A15" s="2" t="s">
        <v>28</v>
      </c>
      <c r="B15" s="2" t="str">
        <f>IFERROR(__xludf.DUMMYFUNCTION("GOOGLETRANSLATE(A15, ""yo"", ""en"")"),"‎""In the decision made by us members of parliament in Osun on the 19th of June 2025, and read out by the Speaker of the House, the step has been taken.")</f>
        <v>‎"In the decision made by us members of parliament in Osun on the 19th of June 2025, and read out by the Speaker of the House, the step has been taken.</v>
      </c>
    </row>
    <row r="16">
      <c r="A16" s="2" t="s">
        <v>29</v>
      </c>
      <c r="B16" s="2" t="s">
        <v>30</v>
      </c>
    </row>
    <row r="17">
      <c r="A17" s="2" t="s">
        <v>31</v>
      </c>
      <c r="B17" s="2" t="s">
        <v>32</v>
      </c>
    </row>
    <row r="18">
      <c r="A18" s="2" t="s">
        <v>33</v>
      </c>
      <c r="B18" s="2" t="s">
        <v>34</v>
      </c>
    </row>
    <row r="19">
      <c r="A19" s="2" t="s">
        <v>35</v>
      </c>
      <c r="B19" s="2" t="s">
        <v>36</v>
      </c>
    </row>
    <row r="20" ht="15.75" customHeight="1">
      <c r="A20" s="2" t="s">
        <v>37</v>
      </c>
      <c r="B20" s="2" t="s">
        <v>38</v>
      </c>
    </row>
    <row r="21" ht="15.75" customHeight="1">
      <c r="A21" s="2" t="s">
        <v>39</v>
      </c>
      <c r="B21" s="2" t="s">
        <v>40</v>
      </c>
    </row>
    <row r="22" ht="15.75" customHeight="1">
      <c r="A22" s="2" t="s">
        <v>41</v>
      </c>
      <c r="B22" s="2" t="s">
        <v>42</v>
      </c>
    </row>
    <row r="23" ht="15.75" customHeight="1">
      <c r="A23" s="2" t="s">
        <v>43</v>
      </c>
      <c r="B23" s="2" t="s">
        <v>44</v>
      </c>
    </row>
    <row r="24" ht="15.75" customHeight="1">
      <c r="A24" s="2" t="s">
        <v>45</v>
      </c>
      <c r="B24" s="2" t="s">
        <v>46</v>
      </c>
    </row>
    <row r="25" ht="15.75" customHeight="1">
      <c r="A25" s="2" t="s">
        <v>47</v>
      </c>
      <c r="B25" s="2" t="s">
        <v>48</v>
      </c>
    </row>
    <row r="26" ht="15.75" customHeight="1">
      <c r="A26" s="2" t="s">
        <v>49</v>
      </c>
      <c r="B26" s="2" t="s">
        <v>50</v>
      </c>
    </row>
    <row r="27" ht="15.75" customHeight="1">
      <c r="A27" s="2" t="s">
        <v>51</v>
      </c>
      <c r="B27" s="2" t="s">
        <v>52</v>
      </c>
    </row>
    <row r="28" ht="15.75" customHeight="1">
      <c r="A28" s="2" t="s">
        <v>53</v>
      </c>
      <c r="B28" s="2" t="s">
        <v>54</v>
      </c>
    </row>
    <row r="29" ht="15.75" customHeight="1">
      <c r="A29" s="2" t="s">
        <v>55</v>
      </c>
      <c r="B29" s="2" t="s">
        <v>56</v>
      </c>
    </row>
    <row r="30" ht="15.75" customHeight="1">
      <c r="A30" s="2" t="s">
        <v>57</v>
      </c>
      <c r="B30" s="2" t="s">
        <v>58</v>
      </c>
    </row>
    <row r="31" ht="15.75" customHeight="1">
      <c r="A31" s="2" t="s">
        <v>59</v>
      </c>
      <c r="B31" s="2" t="s">
        <v>60</v>
      </c>
    </row>
    <row r="32" ht="15.75" customHeight="1">
      <c r="A32" s="2" t="s">
        <v>61</v>
      </c>
      <c r="B32" s="2" t="str">
        <f>IFERROR(__xludf.DUMMYFUNCTION("GOOGLETRANSLATE(A32, ""yo"", ""en"")"),"The judgment of the 100th Court of Appeal was used by the local government chairmen of yesterday's governor, Oyetola to organize the election under the APC political party.")</f>
        <v>The judgment of the 100th Court of Appeal was used by the local government chairmen of yesterday's governor, Oyetola to organize the election under the APC political party.</v>
      </c>
    </row>
    <row r="33" ht="15.75" customHeight="1">
      <c r="A33" s="2" t="s">
        <v>62</v>
      </c>
      <c r="B33" s="2" t="s">
        <v>63</v>
      </c>
    </row>
    <row r="34" ht="15.75" customHeight="1">
      <c r="A34" s="2" t="s">
        <v>64</v>
      </c>
      <c r="B34" s="2" t="s">
        <v>65</v>
      </c>
    </row>
    <row r="35" ht="15.75" customHeight="1">
      <c r="A35" s="2" t="s">
        <v>66</v>
      </c>
      <c r="B35" s="2" t="s">
        <v>67</v>
      </c>
    </row>
    <row r="36" ht="15.75" customHeight="1">
      <c r="A36" s="2" t="s">
        <v>68</v>
      </c>
      <c r="B36" s="2" t="s">
        <v>69</v>
      </c>
    </row>
    <row r="37" ht="15.75" customHeight="1">
      <c r="A37" s="2" t="s">
        <v>70</v>
      </c>
      <c r="B37" s="2" t="s">
        <v>71</v>
      </c>
    </row>
    <row r="38" ht="15.75" customHeight="1">
      <c r="A38" s="2" t="s">
        <v>72</v>
      </c>
      <c r="B38" s="2" t="s">
        <v>73</v>
      </c>
    </row>
    <row r="39" ht="15.75" customHeight="1">
      <c r="A39" s="2" t="s">
        <v>74</v>
      </c>
      <c r="B39" s="2" t="s">
        <v>75</v>
      </c>
    </row>
    <row r="40" ht="15.75" customHeight="1">
      <c r="A40" s="2" t="s">
        <v>76</v>
      </c>
      <c r="B40" s="2" t="str">
        <f>IFERROR(__xludf.DUMMYFUNCTION("GOOGLETRANSLATE(A40, ""yo"", ""en"")"),"""Does Seyi say that he doesn't see enough actors to campaign for his father?")</f>
        <v>"Does Seyi say that he doesn't see enough actors to campaign for his father?</v>
      </c>
    </row>
    <row r="41" ht="15.75" customHeight="1">
      <c r="A41" s="2" t="s">
        <v>77</v>
      </c>
      <c r="B41" s="2" t="s">
        <v>78</v>
      </c>
    </row>
    <row r="42" ht="15.75" customHeight="1">
      <c r="A42" s="2" t="s">
        <v>79</v>
      </c>
      <c r="B42" s="2" t="s">
        <v>80</v>
      </c>
    </row>
    <row r="43" ht="15.75" customHeight="1">
      <c r="A43" s="2" t="s">
        <v>81</v>
      </c>
      <c r="B43" s="2" t="s">
        <v>82</v>
      </c>
      <c r="C43" s="4"/>
    </row>
    <row r="44" ht="15.75" customHeight="1">
      <c r="A44" s="2" t="s">
        <v>83</v>
      </c>
      <c r="B44" s="2" t="s">
        <v>84</v>
      </c>
    </row>
    <row r="45" ht="15.75" customHeight="1">
      <c r="A45" s="2" t="s">
        <v>85</v>
      </c>
      <c r="B45" s="2" t="s">
        <v>86</v>
      </c>
    </row>
    <row r="46" ht="15.75" customHeight="1">
      <c r="A46" s="2" t="s">
        <v>87</v>
      </c>
      <c r="B46" s="2" t="s">
        <v>88</v>
      </c>
    </row>
    <row r="47" ht="15.75" customHeight="1">
      <c r="A47" s="2" t="s">
        <v>89</v>
      </c>
      <c r="B47" s="2" t="s">
        <v>90</v>
      </c>
    </row>
    <row r="48" ht="15.75" customHeight="1">
      <c r="A48" s="2" t="s">
        <v>91</v>
      </c>
      <c r="B48" s="2" t="s">
        <v>92</v>
      </c>
    </row>
    <row r="49" ht="15.75" customHeight="1">
      <c r="A49" s="2" t="s">
        <v>93</v>
      </c>
      <c r="B49" s="2" t="s">
        <v>94</v>
      </c>
    </row>
    <row r="50" ht="15.75" customHeight="1">
      <c r="A50" s="2" t="s">
        <v>95</v>
      </c>
      <c r="B50" s="2" t="s">
        <v>96</v>
      </c>
    </row>
    <row r="51" ht="15.75" customHeight="1">
      <c r="A51" s="2" t="s">
        <v>97</v>
      </c>
      <c r="B51" s="2" t="s">
        <v>98</v>
      </c>
    </row>
    <row r="52" ht="15.75" customHeight="1">
      <c r="A52" s="2" t="s">
        <v>99</v>
      </c>
      <c r="B52" s="2" t="s">
        <v>100</v>
      </c>
    </row>
    <row r="53" ht="15.75" customHeight="1">
      <c r="A53" s="2" t="s">
        <v>101</v>
      </c>
      <c r="B53" s="2" t="str">
        <f>IFERROR(__xludf.DUMMYFUNCTION("GOOGLETRANSLATE(A53, ""yo"", ""en"")"),"This matter emerged at a tearful meeting held at the end of the week in Gombe state after the leaders of the party announced Tinubu as a candidate for the presidential position of the APC in 2027 without naming Shettima as his deputy.")</f>
        <v>This matter emerged at a tearful meeting held at the end of the week in Gombe state after the leaders of the party announced Tinubu as a candidate for the presidential position of the APC in 2027 without naming Shettima as his deputy.</v>
      </c>
    </row>
    <row r="54" ht="15.75" customHeight="1">
      <c r="A54" s="2" t="s">
        <v>102</v>
      </c>
      <c r="B54" s="2" t="s">
        <v>103</v>
      </c>
    </row>
    <row r="55" ht="15.75" customHeight="1">
      <c r="A55" s="2" t="s">
        <v>104</v>
      </c>
      <c r="B55" s="2" t="s">
        <v>105</v>
      </c>
    </row>
    <row r="56" ht="15.75" customHeight="1">
      <c r="A56" s="2" t="s">
        <v>106</v>
      </c>
      <c r="B56" s="2" t="str">
        <f>IFERROR(__xludf.DUMMYFUNCTION("GOOGLETRANSLATE(A56, ""yo"", ""en"")"),"Alhaji Adamu said that ""not naming Shettima as a candidate with Tinubu in the 2027 presidential election created controversy.""")</f>
        <v>Alhaji Adamu said that "not naming Shettima as a candidate with Tinubu in the 2027 presidential election created controversy."</v>
      </c>
    </row>
    <row r="57" ht="15.75" customHeight="1">
      <c r="A57" s="2" t="s">
        <v>107</v>
      </c>
      <c r="B57" s="2" t="str">
        <f>IFERROR(__xludf.DUMMYFUNCTION("GOOGLETRANSLATE(A57, ""yo"", ""en"")"),"BBC News Yoruba news on your WhatsApp Join us where End of podcast promotion The leader of the APC party did not mention Shettima, some are saying that it is possible that they will replace him with someone else.")</f>
        <v>BBC News Yoruba news on your WhatsApp Join us where End of podcast promotion The leader of the APC party did not mention Shettima, some are saying that it is possible that they will replace him with someone else.</v>
      </c>
    </row>
    <row r="58" ht="15.75" customHeight="1">
      <c r="A58" s="2" t="s">
        <v>108</v>
      </c>
      <c r="B58" s="2" t="str">
        <f>IFERROR(__xludf.DUMMYFUNCTION("GOOGLETRANSLATE(A58, ""yo"", ""en"")"),"The APC party leader said that Tinubu was the only one in Nigeria without being criticized by Shettima, as were many of the people present at the meeting.")</f>
        <v>The APC party leader said that Tinubu was the only one in Nigeria without being criticized by Shettima, as were many of the people present at the meeting.</v>
      </c>
    </row>
    <row r="59" ht="15.75" customHeight="1">
      <c r="A59" s="2" t="s">
        <v>109</v>
      </c>
      <c r="B59" s="4" t="s">
        <v>110</v>
      </c>
    </row>
    <row r="60" ht="15.75" customHeight="1">
      <c r="A60" s="2" t="s">
        <v>111</v>
      </c>
      <c r="B60" s="2" t="str">
        <f>IFERROR(__xludf.DUMMYFUNCTION("GOOGLETRANSLATE(A60, ""yo"", ""en"")"),"Now the people started slathering him with water and furniture until they buried him out of the meeting place.")</f>
        <v>Now the people started slathering him with water and furniture until they buried him out of the meeting place.</v>
      </c>
    </row>
    <row r="61" ht="15.75" customHeight="1">
      <c r="A61" s="2" t="s">
        <v>112</v>
      </c>
      <c r="B61" s="2" t="str">
        <f>IFERROR(__xludf.DUMMYFUNCTION("GOOGLETRANSLATE(A61, ""yo"", ""en"")"),"The former governor of Bauchi state, Alhaji Abdulmalik Mahmud, said that the conversation between the president and the vice-president is the issue that should make all groups of both parties angry.")</f>
        <v>The former governor of Bauchi state, Alhaji Abdulmalik Mahmud, said that the conversation between the president and the vice-president is the issue that should make all groups of both parties angry.</v>
      </c>
    </row>
    <row r="62" ht="15.75" customHeight="1">
      <c r="A62" s="2" t="s">
        <v>113</v>
      </c>
      <c r="B62" s="2" t="str">
        <f>IFERROR(__xludf.DUMMYFUNCTION("GOOGLETRANSLATE(A62, ""yo"", ""en"")"),"Among those who were angry at the meeting was Borno state governor, Babagana Umara Zulum, who is from the same state as Shettima.")</f>
        <v>Among those who were angry at the meeting was Borno state governor, Babagana Umara Zulum, who is from the same state as Shettima.</v>
      </c>
    </row>
    <row r="63" ht="15.75" customHeight="1">
      <c r="A63" s="2" t="s">
        <v>114</v>
      </c>
      <c r="B63" s="2" t="str">
        <f>IFERROR(__xludf.DUMMYFUNCTION("GOOGLETRANSLATE(A63, ""yo"", ""en"")"),"Governor Zulu stood up at the meeting and said that ''Tinubu and Kashim must be chosen.''")</f>
        <v>Governor Zulu stood up at the meeting and said that ''Tinubu and Kashim must be chosen.''</v>
      </c>
    </row>
    <row r="64" ht="15.75" customHeight="1">
      <c r="A64" s="2" t="s">
        <v>115</v>
      </c>
      <c r="B64" s="2" t="str">
        <f>IFERROR(__xludf.DUMMYFUNCTION("GOOGLETRANSLATE(A64, ""yo"", ""en"")"),"Although Tinubu's government has only been in office for two years, many politicians have started campaigning for the 2027 general election.")</f>
        <v>Although Tinubu's government has only been in office for two years, many politicians have started campaigning for the 2027 general election.</v>
      </c>
    </row>
    <row r="65" ht="15.75" customHeight="1">
      <c r="A65" s="2" t="s">
        <v>116</v>
      </c>
      <c r="B65" s="2" t="str">
        <f>IFERROR(__xludf.DUMMYFUNCTION("GOOGLETRANSLATE(A65, ""yo"", ""en"")"),"Well, political experts have said that it is a surprising thing that there is a ruckus happening in the APC political party from now on and the 2027 election is ahead.")</f>
        <v>Well, political experts have said that it is a surprising thing that there is a ruckus happening in the APC political party from now on and the 2027 election is ahead.</v>
      </c>
    </row>
    <row r="66" ht="15.75" customHeight="1">
      <c r="A66" s="2" t="s">
        <v>117</v>
      </c>
      <c r="B66" s="2" t="str">
        <f>IFERROR(__xludf.DUMMYFUNCTION("GOOGLETRANSLATE(A66, ""yo"", ""en"")"),"Professor Abubakar Kari who is a political expert said that there are some APC members who want someone else to replace Shettima and that person compete with Tinubu in the 2027 presidential election.")</f>
        <v>Professor Abubakar Kari who is a political expert said that there are some APC members who want someone else to replace Shettima and that person compete with Tinubu in the 2027 presidential election.</v>
      </c>
    </row>
    <row r="67" ht="15.75" customHeight="1">
      <c r="A67" s="2" t="s">
        <v>118</v>
      </c>
      <c r="B67" s="2" t="str">
        <f>IFERROR(__xludf.DUMMYFUNCTION("GOOGLETRANSLATE(A67, ""yo"", ""en"")"),"Prof. Kari said, ""Many APC party members have come after Shettima, some people want to join him.")</f>
        <v>Prof. Kari said, "Many APC party members have come after Shettima, some people want to join him.</v>
      </c>
    </row>
    <row r="68" ht="15.75" customHeight="1">
      <c r="A68" s="2" t="s">
        <v>119</v>
      </c>
      <c r="B68" s="2" t="str">
        <f>IFERROR(__xludf.DUMMYFUNCTION("GOOGLETRANSLATE(A68, ""yo"", ""en"")"),"The problem will be solved if they can replace Shettima with someone else.''")</f>
        <v>The problem will be solved if they can replace Shettima with someone else.''</v>
      </c>
    </row>
    <row r="69" ht="15.75" customHeight="1">
      <c r="A69" s="2" t="s">
        <v>120</v>
      </c>
      <c r="B69" s="2" t="str">
        <f>IFERROR(__xludf.DUMMYFUNCTION("GOOGLETRANSLATE(A69, ""yo"", ""en"")"),"The leaders of the APC in the north-west region including the governor, the member of parliament in Abuja and our ministers announced their support for President Tinubu last June before the 2027 presidential election.")</f>
        <v>The leaders of the APC in the north-west region including the governor, the member of parliament in Abuja and our ministers announced their support for President Tinubu last June before the 2027 presidential election.</v>
      </c>
    </row>
    <row r="70" ht="15.75" customHeight="1">
      <c r="A70" s="2" t="s">
        <v>121</v>
      </c>
      <c r="B70" s="2" t="str">
        <f>IFERROR(__xludf.DUMMYFUNCTION("GOOGLETRANSLATE(A70, ""yo"", ""en"")"),"Although Tinubu has not yet announced that he will run for the presidency for a second term, political experts are critical of the things politicians have started doing before the 2027 general election.")</f>
        <v>Although Tinubu has not yet announced that he will run for the presidency for a second term, political experts are critical of the things politicians have started doing before the 2027 general election.</v>
      </c>
    </row>
    <row r="71" ht="15.75" customHeight="1">
      <c r="A71" s="2" t="s">
        <v>122</v>
      </c>
      <c r="B71" s="2" t="str">
        <f>IFERROR(__xludf.DUMMYFUNCTION("GOOGLETRANSLATE(A71, ""yo"", ""en"")"),"The chairman of the EFCC, Olanipekun Olukoyede, confirmed this in a video that the organization posted on its Facebook page.")</f>
        <v>The chairman of the EFCC, Olanipekun Olukoyede, confirmed this in a video that the organization posted on its Facebook page.</v>
      </c>
    </row>
    <row r="72" ht="15.75" customHeight="1">
      <c r="A72" s="2" t="s">
        <v>123</v>
      </c>
      <c r="B72" s="2" t="str">
        <f>IFERROR(__xludf.DUMMYFUNCTION("GOOGLETRANSLATE(A72, ""yo"", ""en"")"),"Mr. Olukoyede said that the issue of the Yahoo children needs urgent attention because the issue has become a rebellion, meaning that as we kill one, it is still blooming.")</f>
        <v>Mr. Olukoyede said that the issue of the Yahoo children needs urgent attention because the issue has become a rebellion, meaning that as we kill one, it is still blooming.</v>
      </c>
    </row>
    <row r="73" ht="15.75" customHeight="1">
      <c r="A73" s="2" t="s">
        <v>124</v>
      </c>
      <c r="B73" s="2" t="str">
        <f>IFERROR(__xludf.DUMMYFUNCTION("GOOGLETRANSLATE(A73, ""yo"", ""en"")"),"Olukoyede said, ""Many people say that the EFCC is only run by Yahoo people, when they let the people who are stealing hundreds of billions of Nigerian naira leave.")</f>
        <v>Olukoyede said, "Many people say that the EFCC is only run by Yahoo people, when they let the people who are stealing hundreds of billions of Nigerian naira leave.</v>
      </c>
    </row>
    <row r="74" ht="15.75" customHeight="1">
      <c r="A74" s="2" t="s">
        <v>125</v>
      </c>
      <c r="B74" s="2" t="str">
        <f>IFERROR(__xludf.DUMMYFUNCTION("GOOGLETRANSLATE(A74, ""yo"", ""en"")"),"The first thing people should know is that the people of Yahoo who are doing fraud online have damaged the name of Nigeria.")</f>
        <v>The first thing people should know is that the people of Yahoo who are doing fraud online have damaged the name of Nigeria.</v>
      </c>
    </row>
    <row r="75" ht="15.75" customHeight="1">
      <c r="A75" s="2" t="s">
        <v>126</v>
      </c>
      <c r="B75" s="2" t="str">
        <f>IFERROR(__xludf.DUMMYFUNCTION("GOOGLETRANSLATE(A75, ""yo"", ""en"")"),"Others will tell you that a person should go and stop somewhere, once that person has taken out his passport as a Nigerian abroad'' said the EFCC chairman.")</f>
        <v>Others will tell you that a person should go and stop somewhere, once that person has taken out his passport as a Nigerian abroad'' said the EFCC chairman.</v>
      </c>
    </row>
    <row r="76" ht="15.75" customHeight="1">
      <c r="A76" s="2" t="s">
        <v>127</v>
      </c>
      <c r="B76" s="2" t="str">
        <f>IFERROR(__xludf.DUMMYFUNCTION("GOOGLETRANSLATE(A76, ""yo"", ""en"")"),"Mr. Olukoyede many times when he is among his friends abroad, he is frowned upon because of how the Yahoo children have ruined the name of Nigeria.")</f>
        <v>Mr. Olukoyede many times when he is among his friends abroad, he is frowned upon because of how the Yahoo children have ruined the name of Nigeria.</v>
      </c>
    </row>
    <row r="77" ht="15.75" customHeight="1">
      <c r="A77" s="2" t="s">
        <v>128</v>
      </c>
      <c r="B77" s="2" t="str">
        <f>IFERROR(__xludf.DUMMYFUNCTION("GOOGLETRANSLATE(A77, ""yo"", ""en"")"),"The chairman of the EFCC has recently approved the law against over 100 youths who have been defrauding people online.")</f>
        <v>The chairman of the EFCC has recently approved the law against over 100 youths who have been defrauding people online.</v>
      </c>
    </row>
    <row r="78" ht="15.75" customHeight="1">
      <c r="A78" s="2" t="s">
        <v>129</v>
      </c>
      <c r="B78" s="2" t="str">
        <f>IFERROR(__xludf.DUMMYFUNCTION("GOOGLETRANSLATE(A78, ""yo"", ""en"")"),"Mr. Olukoyede said that today's youth do not want to be tied down to work anymore.")</f>
        <v>Mr. Olukoyede said that today's youth do not want to be tied down to work anymore.</v>
      </c>
    </row>
    <row r="79" ht="15.75" customHeight="1">
      <c r="A79" s="2" t="s">
        <v>130</v>
      </c>
      <c r="B79" s="2" t="str">
        <f>IFERROR(__xludf.DUMMYFUNCTION("GOOGLETRANSLATE(A79, ""yo"", ""en"")"),"''I come from a state where education is something that inspires us, but today something is different.")</f>
        <v>''I come from a state where education is something that inspires us, but today something is different.</v>
      </c>
    </row>
    <row r="80" ht="15.75" customHeight="1">
      <c r="A80" s="2" t="s">
        <v>131</v>
      </c>
      <c r="B80" s="2" t="str">
        <f>IFERROR(__xludf.DUMMYFUNCTION("GOOGLETRANSLATE(A80, ""yo"", ""en"")"),"If you come to the grammar school I went to today, when it will be 12 o'clock in the afternoon, most of the students have left school.")</f>
        <v>If you come to the grammar school I went to today, when it will be 12 o'clock in the afternoon, most of the students have left school.</v>
      </c>
    </row>
    <row r="81" ht="15.75" customHeight="1">
      <c r="A81" s="2" t="s">
        <v>132</v>
      </c>
      <c r="B81" s="2" t="str">
        <f>IFERROR(__xludf.DUMMYFUNCTION("GOOGLETRANSLATE(A81, ""yo"", ""en"")"),"Many of them will go to the hotel where they are beating people in the pyramid.")</f>
        <v>Many of them will go to the hotel where they are beating people in the pyramid.</v>
      </c>
    </row>
    <row r="82" ht="15.75" customHeight="1">
      <c r="A82" s="2" t="s">
        <v>133</v>
      </c>
      <c r="B82" s="2" t="str">
        <f>IFERROR(__xludf.DUMMYFUNCTION("GOOGLETRANSLATE(A82, ""yo"", ""en"")"),"In today's world, you often see high school students driving cars, are they the ones who will drive instead of leaders in Nigeria tomorrow?'' Olukoyede said so.")</f>
        <v>In today's world, you often see high school students driving cars, are they the ones who will drive instead of leaders in Nigeria tomorrow?'' Olukoyede said so.</v>
      </c>
    </row>
    <row r="83" ht="15.75" customHeight="1">
      <c r="A83" s="2" t="s">
        <v>134</v>
      </c>
      <c r="B83" s="2" t="str">
        <f>IFERROR(__xludf.DUMMYFUNCTION("GOOGLETRANSLATE(A83, ""yo"", ""en"")"),"BBC News Yoruba news on your WhatsApp Join us there End of podcast promotion The chairman of the EFCC is not the only online fraud the Yahoo guys are doing now, he says many of them are carrying guns.")</f>
        <v>BBC News Yoruba news on your WhatsApp Join us there End of podcast promotion The chairman of the EFCC is not the only online fraud the Yahoo guys are doing now, he says many of them are carrying guns.</v>
      </c>
    </row>
    <row r="84" ht="15.75" customHeight="1">
      <c r="A84" s="2" t="s">
        <v>135</v>
      </c>
      <c r="B84" s="2" t="str">
        <f>IFERROR(__xludf.DUMMYFUNCTION("GOOGLETRANSLATE(A84, ""yo"", ""en"")"),"Mr. Olukoyede is the Yahoo children who are kidnapping people now.")</f>
        <v>Mr. Olukoyede is the Yahoo children who are kidnapping people now.</v>
      </c>
    </row>
    <row r="85" ht="15.75" customHeight="1">
      <c r="A85" s="2" t="s">
        <v>136</v>
      </c>
      <c r="B85" s="2" t="str">
        <f>IFERROR(__xludf.DUMMYFUNCTION("GOOGLETRANSLATE(A85, ""yo"", ""en"")"),"''If they haven't seen a person beaten in the pyramid during my time, they usually kidnap a person.")</f>
        <v>''If they haven't seen a person beaten in the pyramid during my time, they usually kidnap a person.</v>
      </c>
    </row>
    <row r="86" ht="15.75" customHeight="1">
      <c r="A86" s="2" t="s">
        <v>137</v>
      </c>
      <c r="B86" s="2" t="str">
        <f>IFERROR(__xludf.DUMMYFUNCTION("GOOGLETRANSLATE(A86, ""yo"", ""en"")"),"There is real evidence to prove this, and many people know because it is coming out in the newspaper.")</f>
        <v>There is real evidence to prove this, and many people know because it is coming out in the newspaper.</v>
      </c>
    </row>
    <row r="87" ht="15.75" customHeight="1">
      <c r="A87" s="2" t="s">
        <v>138</v>
      </c>
      <c r="B87" s="2" t="str">
        <f>IFERROR(__xludf.DUMMYFUNCTION("GOOGLETRANSLATE(A87, ""yo"", ""en"")"),"Now, many of Yahoo's sons and politicians are using it to steal money and not go up the sea.")</f>
        <v>Now, many of Yahoo's sons and politicians are using it to steal money and not go up the sea.</v>
      </c>
    </row>
    <row r="88" ht="15.75" customHeight="1">
      <c r="A88" s="2" t="s">
        <v>139</v>
      </c>
      <c r="B88" s="2" t="str">
        <f>IFERROR(__xludf.DUMMYFUNCTION("GOOGLETRANSLATE(A88, ""yo"", ""en"")"),"Therefore, don't ignore the online messenger just look at the Yahoo guys.")</f>
        <v>Therefore, don't ignore the online messenger just look at the Yahoo guys.</v>
      </c>
    </row>
    <row r="89" ht="15.75" customHeight="1">
      <c r="A89" s="2" t="s">
        <v>140</v>
      </c>
      <c r="B89" s="2" t="str">
        <f>IFERROR(__xludf.DUMMYFUNCTION("GOOGLETRANSLATE(A89, ""yo"", ""en"")"),"The way people are stealing government money has never been so difficult, what they are doing now is that they are transferring money that they have stolen into the accounts of Yahoo children.")</f>
        <v>The way people are stealing government money has never been so difficult, what they are doing now is that they are transferring money that they have stolen into the accounts of Yahoo children.</v>
      </c>
    </row>
    <row r="90" ht="15.75" customHeight="1">
      <c r="A90" s="2" t="s">
        <v>141</v>
      </c>
      <c r="B90" s="2" t="str">
        <f>IFERROR(__xludf.DUMMYFUNCTION("GOOGLETRANSLATE(A90, ""yo"", ""en"")"),"From there they are collecting this money abroad, they are using the ""crypo"" money bag they are using this Yahoo boy.")</f>
        <v>From there they are collecting this money abroad, they are using the "crypo" money bag they are using this Yahoo boy.</v>
      </c>
    </row>
    <row r="91" ht="15.75" customHeight="1">
      <c r="A91" s="2" t="s">
        <v>142</v>
      </c>
      <c r="B91" s="2" t="str">
        <f>IFERROR(__xludf.DUMMYFUNCTION("GOOGLETRANSLATE(A91, ""yo"", ""en"")"),"From this account they usually get this money to buy a house, buy a vehicle or buy assets if they want.")</f>
        <v>From this account they usually get this money to buy a house, buy a vehicle or buy assets if they want.</v>
      </c>
    </row>
    <row r="92" ht="15.75" customHeight="1">
      <c r="A92" s="2" t="s">
        <v>143</v>
      </c>
      <c r="B92" s="2" t="str">
        <f>IFERROR(__xludf.DUMMYFUNCTION("GOOGLETRANSLATE(A92, ""yo"", ""en"")"),"These politicians used to put Yahoo children in hotels where they opened ""Crypto"" accounts for them.")</f>
        <v>These politicians used to put Yahoo children in hotels where they opened "Crypto" accounts for them.</v>
      </c>
    </row>
    <row r="93" ht="15.75" customHeight="1">
      <c r="A93" s="2" t="s">
        <v>144</v>
      </c>
      <c r="B93" s="2" t="str">
        <f>IFERROR(__xludf.DUMMYFUNCTION("GOOGLETRANSLATE(A93, ""yo"", ""en"")"),"After that they will exchange naira to dollars and put the money in the bank account of the Yahoo children."" The director of the EFCC organization continued that ""There is a twenty-two year old man who was arrested after we found that he had a sum of fi"&amp;"ve billion entered into his account within a year and a half."" Where did a one-year-old man who has never worked found five billion naira within eighteen months?")</f>
        <v>After that they will exchange naira to dollars and put the money in the bank account of the Yahoo children." The director of the EFCC organization continued that "There is a twenty-two year old man who was arrested after we found that he had a sum of five billion entered into his account within a year and a half." Where did a one-year-old man who has never worked found five billion naira within eighteen months?</v>
      </c>
    </row>
    <row r="94" ht="15.75" customHeight="1">
      <c r="A94" s="2" t="s">
        <v>145</v>
      </c>
      <c r="B94" s="2" t="str">
        <f>IFERROR(__xludf.DUMMYFUNCTION("GOOGLETRANSLATE(A94, ""yo"", ""en"")"),"Our investigation revealed that politicians are using these young people to steal money and not leave it abroad, the child is now in the custody of the EFCC while the investigation is going on the matter,'' Olukoyede explained.")</f>
        <v>Our investigation revealed that politicians are using these young people to steal money and not leave it abroad, the child is now in the custody of the EFCC while the investigation is going on the matter,'' Olukoyede explained.</v>
      </c>
    </row>
    <row r="95" ht="15.75" customHeight="1">
      <c r="A95" s="2" t="s">
        <v>146</v>
      </c>
      <c r="B95" s="2" t="str">
        <f>IFERROR(__xludf.DUMMYFUNCTION("GOOGLETRANSLATE(A95, ""yo"", ""en"")"),"The Chairman of the EFCC said that the Yahoo children have gone beyond their limits, some people used to say that ""Leave them alone, they are beating the Hiboys in the pyramid.""")</f>
        <v>The Chairman of the EFCC said that the Yahoo children have gone beyond their limits, some people used to say that "Leave them alone, they are beating the Hiboys in the pyramid."</v>
      </c>
    </row>
    <row r="96" ht="15.75" customHeight="1">
      <c r="A96" s="2" t="s">
        <v>147</v>
      </c>
      <c r="B96" s="2" t="str">
        <f>IFERROR(__xludf.DUMMYFUNCTION("GOOGLETRANSLATE(A96, ""yo"", ""en"")"),"Politicians who are using Yahoo to steal government money do not go abroad now.")</f>
        <v>Politicians who are using Yahoo to steal government money do not go abroad now.</v>
      </c>
    </row>
    <row r="97" ht="15.75" customHeight="1">
      <c r="A97" s="2" t="s">
        <v>148</v>
      </c>
      <c r="B97" s="2" t="str">
        <f>IFERROR(__xludf.DUMMYFUNCTION("GOOGLETRANSLATE(A97, ""yo"", ""en"")"),"Many Yahoo boys are using young women for atonement tomorrow, the people themselves know about this.")</f>
        <v>Many Yahoo boys are using young women for atonement tomorrow, the people themselves know about this.</v>
      </c>
    </row>
    <row r="98" ht="15.75" customHeight="1">
      <c r="A98" s="2" t="s">
        <v>149</v>
      </c>
      <c r="B98" s="2" t="str">
        <f>IFERROR(__xludf.DUMMYFUNCTION("GOOGLETRANSLATE(A98, ""yo"", ""en"")"),"We found a pot in the home of a Yahoo boy who was caught, investigation revealed that there was a woman's hair in the pot.")</f>
        <v>We found a pot in the home of a Yahoo boy who was caught, investigation revealed that there was a woman's hair in the pot.</v>
      </c>
    </row>
    <row r="99" ht="15.75" customHeight="1">
      <c r="A99" s="2" t="s">
        <v>150</v>
      </c>
      <c r="B99" s="2" t="str">
        <f>IFERROR(__xludf.DUMMYFUNCTION("GOOGLETRANSLATE(A99, ""yo"", ""en"")"),"The chairman of the EFCC is the son of Yahoo who is responsible for the economy and reputation of Nigeria.")</f>
        <v>The chairman of the EFCC is the son of Yahoo who is responsible for the economy and reputation of Nigeria.</v>
      </c>
    </row>
    <row r="100" ht="15.75" customHeight="1">
      <c r="A100" s="2" t="s">
        <v>151</v>
      </c>
      <c r="B100" s="2" t="str">
        <f>IFERROR(__xludf.DUMMYFUNCTION("GOOGLETRANSLATE(A100, ""yo"", ""en"")"),"However, he said the organization will not relent in its efforts to attack the Yahoo children who are damaging the good name of Nigeria.")</f>
        <v>However, he said the organization will not relent in its efforts to attack the Yahoo children who are damaging the good name of Nigeria.</v>
      </c>
    </row>
    <row r="101" ht="15.75" customHeight="1">
      <c r="A101" s="2" t="s">
        <v>152</v>
      </c>
      <c r="B101" s="2" t="str">
        <f>IFERROR(__xludf.DUMMYFUNCTION("GOOGLETRANSLATE(A101, ""yo"", ""en"")"),"He urged the public to cooperate with the EFCC to fight against the Yahoos who are swindling Nigerian rice.")</f>
        <v>He urged the public to cooperate with the EFCC to fight against the Yahoos who are swindling Nigerian rice.</v>
      </c>
    </row>
    <row r="102" ht="15.75" customHeight="1">
      <c r="A102" s="2" t="s">
        <v>153</v>
      </c>
      <c r="B102" s="2" t="str">
        <f>IFERROR(__xludf.DUMMYFUNCTION("GOOGLETRANSLATE(A102, ""yo"", ""en"")"),"The former Minister of Youth and Sports in Nigeria, Solomon Dalung, has described the two years of President Bola Tinubu's presidency as unprecedented for Nigeria.")</f>
        <v>The former Minister of Youth and Sports in Nigeria, Solomon Dalung, has described the two years of President Bola Tinubu's presidency as unprecedented for Nigeria.</v>
      </c>
    </row>
    <row r="103" ht="15.75" customHeight="1">
      <c r="A103" s="2" t="s">
        <v>154</v>
      </c>
      <c r="B103" s="2" t="str">
        <f>IFERROR(__xludf.DUMMYFUNCTION("GOOGLETRANSLATE(A103, ""yo"", ""en"")"),"Dalung said this while talking to the BBC about the Awarawa government and the twenty-sixth anniversary of the Awarawa government in Nigeria.")</f>
        <v>Dalung said this while talking to the BBC about the Awarawa government and the twenty-sixth anniversary of the Awarawa government in Nigeria.</v>
      </c>
    </row>
    <row r="104" ht="15.75" customHeight="1">
      <c r="A104" s="2" t="s">
        <v>155</v>
      </c>
      <c r="B104" s="2" t="str">
        <f>IFERROR(__xludf.DUMMYFUNCTION("GOOGLETRANSLATE(A104, ""yo"", ""en"")"),"He said one thing Nigerians can say about Bola Tinubu's administration is that they are thankful that they are alive.")</f>
        <v>He said one thing Nigerians can say about Bola Tinubu's administration is that they are thankful that they are alive.</v>
      </c>
    </row>
    <row r="105" ht="15.75" customHeight="1">
      <c r="A105" s="2" t="s">
        <v>156</v>
      </c>
      <c r="B105" s="2" t="str">
        <f>IFERROR(__xludf.DUMMYFUNCTION("GOOGLETRANSLATE(A105, ""yo"", ""en"")"),"""Owonggogo police, work, hunger and the hardships of security, all these are causing hardships for the people,"" he said.")</f>
        <v>"Owonggogo police, work, hunger and the hardships of security, all these are causing hardships for the people," he said.</v>
      </c>
    </row>
    <row r="106" ht="15.75" customHeight="1">
      <c r="A106" s="2" t="s">
        <v>157</v>
      </c>
      <c r="B106" s="2" t="str">
        <f>IFERROR(__xludf.DUMMYFUNCTION("GOOGLETRANSLATE(A106, ""yo"", ""en"")"),"Solomon Dalung, those who are not living in Nigeria are losing their lives because of the famine that Tinubu's government brought to Nigeria.")</f>
        <v>Solomon Dalung, those who are not living in Nigeria are losing their lives because of the famine that Tinubu's government brought to Nigeria.</v>
      </c>
    </row>
    <row r="107" ht="15.75" customHeight="1">
      <c r="A107" s="2" t="s">
        <v>158</v>
      </c>
      <c r="B107" s="2" t="str">
        <f>IFERROR(__xludf.DUMMYFUNCTION("GOOGLETRANSLATE(A107, ""yo"", ""en"")"),"""Despite how much hardship, when they gave birth to Tinubu, he said he did not regret that he took the petrol money"".")</f>
        <v>"Despite how much hardship, when they gave birth to Tinubu, he said he did not regret that he took the petrol money".</v>
      </c>
    </row>
    <row r="108" ht="15.75" customHeight="1">
      <c r="A108" s="2" t="s">
        <v>159</v>
      </c>
      <c r="B108" s="2" t="str">
        <f>IFERROR(__xludf.DUMMYFUNCTION("GOOGLETRANSLATE(A108, ""yo"", ""en"")"),"Many times the government of Bola Tinubu has failed to realize that the removal of petrol tax is important for the future of the Nigerian economy.")</f>
        <v>Many times the government of Bola Tinubu has failed to realize that the removal of petrol tax is important for the future of the Nigerian economy.</v>
      </c>
    </row>
    <row r="109" ht="15.75" customHeight="1">
      <c r="A109" s="2" t="s">
        <v>160</v>
      </c>
      <c r="B109" s="2" t="str">
        <f>IFERROR(__xludf.DUMMYFUNCTION("GOOGLETRANSLATE(A109, ""yo"", ""en"")"),"Solomon Dalung in Tinubu's administration for two years has now shown that the government is not there for Nigerians who are in need and that Nigerians have not seen the benefits of removing the oil subsidy since they were removed.")</f>
        <v>Solomon Dalung in Tinubu's administration for two years has now shown that the government is not there for Nigerians who are in need and that Nigerians have not seen the benefits of removing the oil subsidy since they were removed.</v>
      </c>
    </row>
    <row r="110" ht="15.75" customHeight="1">
      <c r="A110" s="2" t="s">
        <v>161</v>
      </c>
      <c r="B110" s="2" t="str">
        <f>IFERROR(__xludf.DUMMYFUNCTION("GOOGLETRANSLATE(A110, ""yo"", ""en"")"),"""After changing the plane and vehicle, building a house for his deputy, I have not seen the influence of Tinubu's government for two years,"" he said.")</f>
        <v>"After changing the plane and vehicle, building a house for his deputy, I have not seen the influence of Tinubu's government for two years," he said.</v>
      </c>
    </row>
    <row r="111" ht="15.75" customHeight="1">
      <c r="A111" s="2" t="s">
        <v>162</v>
      </c>
      <c r="B111" s="2" t="str">
        <f>IFERROR(__xludf.DUMMYFUNCTION("GOOGLETRANSLATE(A111, ""yo"", ""en"")"),"The minister also continued that the two years of the administration of President Tinubu has brought many attentions to the government of Awarawa, which is the first in the history of Nigeria.")</f>
        <v>The minister also continued that the two years of the administration of President Tinubu has brought many attentions to the government of Awarawa, which is the first in the history of Nigeria.</v>
      </c>
    </row>
    <row r="112" ht="15.75" customHeight="1">
      <c r="A112" s="2" t="s">
        <v>163</v>
      </c>
      <c r="B112" s="2" t="str">
        <f>IFERROR(__xludf.DUMMYFUNCTION("GOOGLETRANSLATE(A112, ""yo"", ""en"")"),"He also accused the government of being complicit in how the law enforcement agencies detain human rights activists.")</f>
        <v>He also accused the government of being complicit in how the law enforcement agencies detain human rights activists.</v>
      </c>
    </row>
    <row r="113" ht="15.75" customHeight="1">
      <c r="A113" s="2" t="s">
        <v>164</v>
      </c>
      <c r="B113" s="2" t="str">
        <f>IFERROR(__xludf.DUMMYFUNCTION("GOOGLETRANSLATE(A113, ""yo"", ""en"")"),"Dalung also said that the current government is trying hard to buy opposition political members so that they can join his political party.")</f>
        <v>Dalung also said that the current government is trying hard to buy opposition political members so that they can join his political party.</v>
      </c>
    </row>
    <row r="114" ht="15.75" customHeight="1">
      <c r="A114" s="2" t="s">
        <v>165</v>
      </c>
      <c r="B114" s="2" t="str">
        <f>IFERROR(__xludf.DUMMYFUNCTION("GOOGLETRANSLATE(A114, ""yo"", ""en"")"),"Among those who were honored by the president was the wife of the late Moshood Abiola, the chairman of the National Electoral Commission (NEC) at the time, Humphrey Nwosu, who was married to the former vice president, Shehu Yar'Adua.")</f>
        <v>Among those who were honored by the president was the wife of the late Moshood Abiola, the chairman of the National Electoral Commission (NEC) at the time, Humphrey Nwosu, who was married to the former vice president, Shehu Yar'Adua.</v>
      </c>
    </row>
    <row r="115" ht="15.75" customHeight="1">
      <c r="A115" s="2" t="s">
        <v>166</v>
      </c>
      <c r="B115" s="2" t="str">
        <f>IFERROR(__xludf.DUMMYFUNCTION("GOOGLETRANSLATE(A115, ""yo"", ""en"")"),"Ever since the president announced this, some people have been attacking the president while others have been criticizing the president that he has not done enough with those who gave him the position.")</f>
        <v>Ever since the president announced this, some people have been attacking the president while others have been criticizing the president that he has not done enough with those who gave him the position.</v>
      </c>
    </row>
    <row r="116" ht="15.75" customHeight="1">
      <c r="A116" s="2" t="s">
        <v>167</v>
      </c>
      <c r="B116" s="2" t="str">
        <f>IFERROR(__xludf.DUMMYFUNCTION("GOOGLETRANSLATE(A116, ""yo"", ""en"")"),"Among the things that people are saying is that Tinubu refused to appoint people like Yinka Odumakin, Babafemi Ojudu, Professor Mokwugo Okoye, Dr Tunji Abayomi, Dele Momodu, Arthur Nwankwo, Niran Malaolu, Tunde Oladepo, who also fought for the Awaarawa go"&amp;"vernment.")</f>
        <v>Among the things that people are saying is that Tinubu refused to appoint people like Yinka Odumakin, Babafemi Ojudu, Professor Mokwugo Okoye, Dr Tunji Abayomi, Dele Momodu, Arthur Nwankwo, Niran Malaolu, Tunde Oladepo, who also fought for the Awaarawa government.</v>
      </c>
    </row>
    <row r="117" ht="15.75" customHeight="1">
      <c r="A117" s="2" t="s">
        <v>168</v>
      </c>
      <c r="B117" s="2" t="str">
        <f>IFERROR(__xludf.DUMMYFUNCTION("GOOGLETRANSLATE(A117, ""yo"", ""en"")"),"Well, the president said that honoring the people has not been shared at all.")</f>
        <v>Well, the president said that honoring the people has not been shared at all.</v>
      </c>
    </row>
    <row r="118" ht="15.75" customHeight="1">
      <c r="A118" s="2" t="s">
        <v>169</v>
      </c>
      <c r="B118" s="2" t="str">
        <f>IFERROR(__xludf.DUMMYFUNCTION("GOOGLETRANSLATE(A118, ""yo"", ""en"")"),"He said many drivers who fought for the Awawarawa government were not honored by the president in his speech.")</f>
        <v>He said many drivers who fought for the Awawarawa government were not honored by the president in his speech.</v>
      </c>
    </row>
    <row r="119" ht="15.75" customHeight="1">
      <c r="A119" s="2" t="s">
        <v>170</v>
      </c>
      <c r="B119" s="2" t="str">
        <f>IFERROR(__xludf.DUMMYFUNCTION("GOOGLETRANSLATE(A119, ""yo"", ""en"")"),"BBC News Yoruba news on your WhatsApp Join us at the End of podcast promotion Fayemi, who was the director of Kudirat Abiola's radio program abroad at the time, said that among those who fought for the government, such as Yinka Johnson, Gbolahan Olalemi, "&amp;"Daniel Johnson, George Noah and Dr. Tajudeen Abdul-Raheem and others who worked on the radio, the president did not remember those who honor him with the title.")</f>
        <v>BBC News Yoruba news on your WhatsApp Join us at the End of podcast promotion Fayemi, who was the director of Kudirat Abiola's radio program abroad at the time, said that among those who fought for the government, such as Yinka Johnson, Gbolahan Olalemi, Daniel Johnson, George Noah and Dr. Tajudeen Abdul-Raheem and others who worked on the radio, the president did not remember those who honor him with the title.</v>
      </c>
    </row>
    <row r="120" ht="15.75" customHeight="1">
      <c r="A120" s="2" t="s">
        <v>171</v>
      </c>
      <c r="B120" s="2" t="str">
        <f>IFERROR(__xludf.DUMMYFUNCTION("GOOGLETRANSLATE(A120, ""yo"", ""en"")"),"Similarly, Dele Momodu said that some people are contacting him that the president deliberately removed his name from those who gave him the title.")</f>
        <v>Similarly, Dele Momodu said that some people are contacting him that the president deliberately removed his name from those who gave him the title.</v>
      </c>
    </row>
    <row r="121" ht="15.75" customHeight="1">
      <c r="A121" s="2" t="s">
        <v>172</v>
      </c>
      <c r="B121" s="2" t="str">
        <f>IFERROR(__xludf.DUMMYFUNCTION("GOOGLETRANSLATE(A121, ""yo"", ""en"")"),"Dele Momodu said that he believes that the government gives honors to people when it pleases them and that such honors do not happen only once.")</f>
        <v>Dele Momodu said that he believes that the government gives honors to people when it pleases them and that such honors do not happen only once.</v>
      </c>
    </row>
    <row r="122" ht="15.75" customHeight="1">
      <c r="A122" s="2" t="s">
        <v>173</v>
      </c>
      <c r="B122" s="2" t="str">
        <f>IFERROR(__xludf.DUMMYFUNCTION("GOOGLETRANSLATE(A122, ""yo"", ""en"")"),"He said that he really agreed that there are some important people whose names the president did not include among those who gave the position.")</f>
        <v>He said that he really agreed that there are some important people whose names the president did not include among those who gave the position.</v>
      </c>
    </row>
    <row r="123" ht="15.75" customHeight="1">
      <c r="A123" s="2" t="s">
        <v>174</v>
      </c>
      <c r="B123" s="2" t="str">
        <f>IFERROR(__xludf.DUMMYFUNCTION("GOOGLETRANSLATE(A123, ""yo"", ""en"")"),"He added that June 12 was good for him because of all the good things that happened to him, that he became a citizen of the UK.")</f>
        <v>He added that June 12 was good for him because of all the good things that happened to him, that he became a citizen of the UK.</v>
      </c>
    </row>
    <row r="124" ht="15.75" customHeight="1">
      <c r="A124" s="2" t="s">
        <v>175</v>
      </c>
      <c r="B124" s="2" t="str">
        <f>IFERROR(__xludf.DUMMYFUNCTION("GOOGLETRANSLATE(A124, ""yo"", ""en"")"),"He also congratulated those who were given the title.")</f>
        <v>He also congratulated those who were given the title.</v>
      </c>
    </row>
    <row r="125" ht="15.75" customHeight="1">
      <c r="A125" s="2" t="s">
        <v>176</v>
      </c>
      <c r="B125" s="2" t="str">
        <f>IFERROR(__xludf.DUMMYFUNCTION("GOOGLETRANSLATE(A125, ""yo"", ""en"")"),"Likewise, the ambassador of the Movement for the Survival of the Ogoni People praised Tinubu as he honored the nine Ogoni.")</f>
        <v>Likewise, the ambassador of the Movement for the Survival of the Ogoni People praised Tinubu as he honored the nine Ogoni.</v>
      </c>
    </row>
    <row r="126" ht="15.75" customHeight="1">
      <c r="A126" s="2" t="s">
        <v>177</v>
      </c>
      <c r="B126" s="2" t="str">
        <f>IFERROR(__xludf.DUMMYFUNCTION("GOOGLETRANSLATE(A126, ""yo"", ""en"")"),"They asked the president to drop the murder charges against Ken Saro-Wiwa and others.")</f>
        <v>They asked the president to drop the murder charges against Ken Saro-Wiwa and others.</v>
      </c>
    </row>
    <row r="127" ht="15.75" customHeight="1">
      <c r="A127" s="2" t="s">
        <v>178</v>
      </c>
      <c r="B127" s="2" t="str">
        <f>IFERROR(__xludf.DUMMYFUNCTION("GOOGLETRANSLATE(A127, ""yo"", ""en"")"),"The Ogoni Nine groups took action against the Shells oil company in the Niger-Delta region in the 80s, and they were arrested, and the Sani Abacha government took their lives.")</f>
        <v>The Ogoni Nine groups took action against the Shells oil company in the Niger-Delta region in the 80s, and they were arrested, and the Sani Abacha government took their lives.</v>
      </c>
    </row>
    <row r="128" ht="15.75" customHeight="1">
      <c r="A128" s="2" t="s">
        <v>179</v>
      </c>
      <c r="B128" s="2" t="str">
        <f>IFERROR(__xludf.DUMMYFUNCTION("GOOGLETRANSLATE(A128, ""yo"", ""en"")"),"Similarly, the president also distributed the big award to MKO Abiola, Alfred Rewane, Anthony Enahoro and others while speaking at the parliament in Abuja.")</f>
        <v>Similarly, the president also distributed the big award to MKO Abiola, Alfred Rewane, Anthony Enahoro and others while speaking at the parliament in Abuja.</v>
      </c>
    </row>
    <row r="129" ht="15.75" customHeight="1">
      <c r="A129" s="2" t="s">
        <v>180</v>
      </c>
      <c r="B129" s="2" t="str">
        <f>IFERROR(__xludf.DUMMYFUNCTION("GOOGLETRANSLATE(A129, ""yo"", ""en"")"),"In his speech, the President made it possible to show the spirit of friendship to the people who are fighting for the government of Awarawa in Nigeria.")</f>
        <v>In his speech, the President made it possible to show the spirit of friendship to the people who are fighting for the government of Awarawa in Nigeria.</v>
      </c>
    </row>
    <row r="130" ht="15.75" customHeight="1">
      <c r="A130" s="2" t="s">
        <v>181</v>
      </c>
      <c r="B130" s="2" t="str">
        <f>IFERROR(__xludf.DUMMYFUNCTION("GOOGLETRANSLATE(A130, ""yo"", ""en"")"),"Tinubu thanked the President of Nigeria, Muhammadu Buhari for taking the step to make June 12 the day of the Awarawa government in Nigeria.")</f>
        <v>Tinubu thanked the President of Nigeria, Muhammadu Buhari for taking the step to make June 12 the day of the Awarawa government in Nigeria.</v>
      </c>
    </row>
    <row r="131" ht="15.75" customHeight="1">
      <c r="A131" s="2" t="s">
        <v>182</v>
      </c>
      <c r="B131" s="2" t="str">
        <f>IFERROR(__xludf.DUMMYFUNCTION("GOOGLETRANSLATE(A131, ""yo"", ""en"")"),"Tinubu also distributed awards to great people in Nigeria like Femi Falana, Wole Soyinka, and the leader of Aguda church in Sokoto Hassan Kukah.")</f>
        <v>Tinubu also distributed awards to great people in Nigeria like Femi Falana, Wole Soyinka, and the leader of Aguda church in Sokoto Hassan Kukah.</v>
      </c>
    </row>
    <row r="132" ht="15.75" customHeight="1">
      <c r="A132" s="2" t="s">
        <v>183</v>
      </c>
      <c r="B132" s="2" t="str">
        <f>IFERROR(__xludf.DUMMYFUNCTION("GOOGLETRANSLATE(A132, ""yo"", ""en"")"),"On the thirty-first day, the tenth month, in 1995, a military court sentenced Ken Saro Wiwa and his eight comrades who were fighting for the redemption of the Ogoni area in Nigeria to death.")</f>
        <v>On the thirty-first day, the tenth month, in 1995, a military court sentenced Ken Saro Wiwa and his eight comrades who were fighting for the redemption of the Ogoni area in Nigeria to death.</v>
      </c>
    </row>
    <row r="133" ht="15.75" customHeight="1">
      <c r="A133" s="2" t="s">
        <v>184</v>
      </c>
      <c r="B133" s="2" t="str">
        <f>IFERROR(__xludf.DUMMYFUNCTION("GOOGLETRANSLATE(A133, ""yo"", ""en"")"),"They were accused of murder, the military government at the time under General Sani Abacha accused them of being involved in the death of four Ogoni elders.")</f>
        <v>They were accused of murder, the military government at the time under General Sani Abacha accused them of being involved in the death of four Ogoni elders.</v>
      </c>
    </row>
    <row r="134" ht="15.75" customHeight="1">
      <c r="A134" s="2" t="s">
        <v>185</v>
      </c>
      <c r="B134" s="2" t="str">
        <f>IFERROR(__xludf.DUMMYFUNCTION("GOOGLETRANSLATE(A134, ""yo"", ""en"")"),"They were killed on the tenth day of the eleventh month of 1995.")</f>
        <v>They were killed on the tenth day of the eleventh month of 1995.</v>
      </c>
    </row>
    <row r="135" ht="15.75" customHeight="1">
      <c r="A135" s="2" t="s">
        <v>186</v>
      </c>
      <c r="B135" s="2" t="str">
        <f>IFERROR(__xludf.DUMMYFUNCTION("GOOGLETRANSLATE(A135, ""yo"", ""en"")"),"During his lifetime, Ken Saro Wiwa did not allow the rubber companies to rest because of the consequences of neglecting their work that was not harmful to the environment at that time.")</f>
        <v>During his lifetime, Ken Saro Wiwa did not allow the rubber companies to rest because of the consequences of neglecting their work that was not harmful to the environment at that time.</v>
      </c>
    </row>
    <row r="136" ht="15.75" customHeight="1">
      <c r="A136" s="2" t="s">
        <v>187</v>
      </c>
      <c r="B136" s="2" t="str">
        <f>IFERROR(__xludf.DUMMYFUNCTION("GOOGLETRANSLATE(A136, ""yo"", ""en"")"),"Spray oil on the surface of the tank, which creates a large scale for underwater objects in the area.")</f>
        <v>Spray oil on the surface of the tank, which creates a large scale for underwater objects in the area.</v>
      </c>
    </row>
    <row r="137" ht="15.75" customHeight="1">
      <c r="A137" s="2" t="s">
        <v>188</v>
      </c>
      <c r="B137" s="2" t="str">
        <f>IFERROR(__xludf.DUMMYFUNCTION("GOOGLETRANSLATE(A137, ""yo"", ""en"")"),"is causing great hardship to the people there because killing fish is a popular activity there.")</f>
        <v>is causing great hardship to the people there because killing fish is a popular activity there.</v>
      </c>
    </row>
    <row r="138" ht="15.75" customHeight="1">
      <c r="A138" s="2" t="s">
        <v>189</v>
      </c>
      <c r="B138" s="2" t="str">
        <f>IFERROR(__xludf.DUMMYFUNCTION("GOOGLETRANSLATE(A138, ""yo"", ""en"")"),"Kudirat Abiola is a great leader in the establishment of a civil government system, we did not talk about June 12, he was very influential because he gave his life for the civil government.")</f>
        <v>Kudirat Abiola is a great leader in the establishment of a civil government system, we did not talk about June 12, he was very influential because he gave his life for the civil government.</v>
      </c>
    </row>
    <row r="139" ht="15.75" customHeight="1">
      <c r="A139" s="2" t="s">
        <v>190</v>
      </c>
      <c r="B139" s="2" t="str">
        <f>IFERROR(__xludf.DUMMYFUNCTION("GOOGLETRANSLATE(A139, ""yo"", ""en"")"),"They were born Kudirat Olayinka Adeyemi in Zaria in 1951, since his youth he has been showing bravery.")</f>
        <v>They were born Kudirat Olayinka Adeyemi in Zaria in 1951, since his youth he has been showing bravery.</v>
      </c>
    </row>
    <row r="140" ht="15.75" customHeight="1">
      <c r="A140" s="2" t="s">
        <v>191</v>
      </c>
      <c r="B140" s="2" t="str">
        <f>IFERROR(__xludf.DUMMYFUNCTION("GOOGLETRANSLATE(A140, ""yo"", ""en"")"),"Proof of what you did in high school.")</f>
        <v>Proof of what you did in high school.</v>
      </c>
    </row>
    <row r="141" ht="15.75" customHeight="1">
      <c r="A141" s="2" t="s">
        <v>192</v>
      </c>
      <c r="B141" s="2" t="str">
        <f>IFERROR(__xludf.DUMMYFUNCTION("GOOGLETRANSLATE(A141, ""yo"", ""en"")"),"Muslim Girls High School has become a strong woman with hard work that made her the leader of all the students in her senior class.")</f>
        <v>Muslim Girls High School has become a strong woman with hard work that made her the leader of all the students in her senior class.</v>
      </c>
    </row>
    <row r="142" ht="15.75" customHeight="1">
      <c r="A142" s="2" t="s">
        <v>193</v>
      </c>
      <c r="B142" s="2" t="str">
        <f>IFERROR(__xludf.DUMMYFUNCTION("GOOGLETRANSLATE(A142, ""yo"", ""en"")"),"She married Chief Moshood Abiola at the age of twenty one.")</f>
        <v>She married Chief Moshood Abiola at the age of twenty one.</v>
      </c>
    </row>
    <row r="143" ht="15.75" customHeight="1">
      <c r="A143" s="2" t="s">
        <v>194</v>
      </c>
      <c r="B143" s="2" t="str">
        <f>IFERROR(__xludf.DUMMYFUNCTION("GOOGLETRANSLATE(A143, ""yo"", ""en"")"),"Alhaja Kudirat was Abiola's second wife but she was the mistress of his wives when he was killed.")</f>
        <v>Alhaja Kudirat was Abiola's second wife but she was the mistress of his wives when he was killed.</v>
      </c>
    </row>
    <row r="144" ht="15.75" customHeight="1">
      <c r="A144" s="2" t="s">
        <v>195</v>
      </c>
      <c r="B144" s="2" t="str">
        <f>IFERROR(__xludf.DUMMYFUNCTION("GOOGLETRANSLATE(A144, ""yo"", ""en"")"),"Kudirat gave birth to seven children to MKO Abiola's husband - Yisau Olalekan, Hafsat Olaronke, Abdul Mumuni Khafila, Hadi, Moriam, Jamiu Abiodun and Olalekan Yisau Abiola.")</f>
        <v>Kudirat gave birth to seven children to MKO Abiola's husband - Yisau Olalekan, Hafsat Olaronke, Abdul Mumuni Khafila, Hadi, Moriam, Jamiu Abiodun and Olalekan Yisau Abiola.</v>
      </c>
    </row>
    <row r="145" ht="15.75" customHeight="1">
      <c r="A145" s="2" t="s">
        <v>196</v>
      </c>
      <c r="B145" s="2" t="str">
        <f>IFERROR(__xludf.DUMMYFUNCTION("GOOGLETRANSLATE(A145, ""yo"", ""en"")"),"Akinwande Oluwole Babatunde Soyinka is an Arab tree at home and abroad as a good son and a Nigerian, but Wole Soyinka is known by people.")</f>
        <v>Akinwande Oluwole Babatunde Soyinka is an Arab tree at home and abroad as a good son and a Nigerian, but Wole Soyinka is known by people.</v>
      </c>
    </row>
    <row r="146" ht="15.75" customHeight="1">
      <c r="A146" s="2" t="s">
        <v>197</v>
      </c>
      <c r="B146" s="2" t="str">
        <f>IFERROR(__xludf.DUMMYFUNCTION("GOOGLETRANSLATE(A146, ""yo"", ""en"")"),"Born in Isara-Remo, Professor Wole Soyinka is the second of six children born to his mother in Abeokuta, Ogun state.")</f>
        <v>Born in Isara-Remo, Professor Wole Soyinka is the second of six children born to his mother in Abeokuta, Ogun state.</v>
      </c>
    </row>
    <row r="147" ht="15.75" customHeight="1">
      <c r="A147" s="2" t="s">
        <v>198</v>
      </c>
      <c r="B147" s="2" t="str">
        <f>IFERROR(__xludf.DUMMYFUNCTION("GOOGLETRANSLATE(A147, ""yo"", ""en"")"),"They were born on the thirteenth day of July, 1934.")</f>
        <v>They were born on the thirteenth day of July, 1934.</v>
      </c>
    </row>
    <row r="148" ht="15.75" customHeight="1">
      <c r="A148" s="2" t="s">
        <v>199</v>
      </c>
      <c r="B148" s="2" t="str">
        <f>IFERROR(__xludf.DUMMYFUNCTION("GOOGLETRANSLATE(A148, ""yo"", ""en"")"),"Wole's father, Samuel Ayodele Soyinka is a devout Anglican priest and principal of a primary school while his mother, Grace Eniola Soyinka is a marketeer and a political activist among women.")</f>
        <v>Wole's father, Samuel Ayodele Soyinka is a devout Anglican priest and principal of a primary school while his mother, Grace Eniola Soyinka is a marketeer and a political activist among women.</v>
      </c>
    </row>
    <row r="149" ht="15.75" customHeight="1">
      <c r="A149" s="2" t="s">
        <v>200</v>
      </c>
      <c r="B149" s="2" t="str">
        <f>IFERROR(__xludf.DUMMYFUNCTION("GOOGLETRANSLATE(A149, ""yo"", ""en"")"),"Therefore, Soyinka entered the Anglican church when he was young and learned about Christianity from his parents.")</f>
        <v>Therefore, Soyinka entered the Anglican church when he was young and learned about Christianity from his parents.</v>
      </c>
    </row>
    <row r="150" ht="15.75" customHeight="1">
      <c r="A150" s="2" t="s">
        <v>201</v>
      </c>
      <c r="B150" s="2" t="str">
        <f>IFERROR(__xludf.DUMMYFUNCTION("GOOGLETRANSLATE(A150, ""yo"", ""en"")"),"However, while he is learning this, he is also learning about Yoruba culture and religion from his grandfather.")</f>
        <v>However, while he is learning this, he is also learning about Yoruba culture and religion from his grandfather.</v>
      </c>
    </row>
    <row r="151" ht="15.75" customHeight="1">
      <c r="A151" s="2" t="s">
        <v>202</v>
      </c>
      <c r="B151" s="2" t="str">
        <f>IFERROR(__xludf.DUMMYFUNCTION("GOOGLETRANSLATE(A151, ""yo"", ""en"")"),"As the country of Nigeria celebrates the Awarawa government which is held on the 12th of June every year, General Hamza Al- Mustapha who is the head of the disabled guards for the former President of Nigeria, who became the late, General Sani Abacha, has "&amp;"said that many things happened on the 12th of June 1993 that he will reveal in the future.")</f>
        <v>As the country of Nigeria celebrates the Awarawa government which is held on the 12th of June every year, General Hamza Al- Mustapha who is the head of the disabled guards for the former President of Nigeria, who became the late, General Sani Abacha, has said that many things happened on the 12th of June 1993 that he will reveal in the future.</v>
      </c>
    </row>
    <row r="152" ht="15.75" customHeight="1">
      <c r="A152" s="2" t="s">
        <v>203</v>
      </c>
      <c r="B152" s="2" t="str">
        <f>IFERROR(__xludf.DUMMYFUNCTION("GOOGLETRANSLATE(A152, ""yo"", ""en"")"),"He also denied all the accusations against his boss that he was involved in the corruption that occurred after the 1993 election.")</f>
        <v>He also denied all the accusations against his boss that he was involved in the corruption that occurred after the 1993 election.</v>
      </c>
    </row>
    <row r="153" ht="15.75" customHeight="1">
      <c r="A153" s="2" t="s">
        <v>204</v>
      </c>
      <c r="B153" s="2" t="str">
        <f>IFERROR(__xludf.DUMMYFUNCTION("GOOGLETRANSLATE(A153, ""yo"", ""en"")"),"In his book, the former military president, Admiral Ibrahim Badamasi Babangida, accused Admiral Sani Abacha of being involved in things that caused trouble during the 1993 presidential election.")</f>
        <v>In his book, the former military president, Admiral Ibrahim Badamasi Babangida, accused Admiral Sani Abacha of being involved in things that caused trouble during the 1993 presidential election.</v>
      </c>
    </row>
    <row r="154" ht="15.75" customHeight="1">
      <c r="A154" s="2" t="s">
        <v>205</v>
      </c>
      <c r="B154" s="2" t="str">
        <f>IFERROR(__xludf.DUMMYFUNCTION("GOOGLETRANSLATE(A154, ""yo"", ""en"")"),"In an interview with BBC Hausa, these are the words that Admiral Hamza Al-Mustapha said to the BBC on the June 12, 1993 election program and the things he said against the Awarawa government.")</f>
        <v>In an interview with BBC Hausa, these are the words that Admiral Hamza Al-Mustapha said to the BBC on the June 12, 1993 election program and the things he said against the Awarawa government.</v>
      </c>
    </row>
    <row r="155" ht="15.75" customHeight="1">
      <c r="A155" s="2" t="s">
        <v>206</v>
      </c>
      <c r="B155" s="2" t="str">
        <f>IFERROR(__xludf.DUMMYFUNCTION("GOOGLETRANSLATE(A155, ""yo"", ""en"")"),"When they put the paper out, they didn't call me with the paper.")</f>
        <v>When they put the paper out, they didn't call me with the paper.</v>
      </c>
    </row>
    <row r="156" ht="15.75" customHeight="1">
      <c r="A156" s="2" t="s">
        <v>207</v>
      </c>
      <c r="B156" s="2" t="str">
        <f>IFERROR(__xludf.DUMMYFUNCTION("GOOGLETRANSLATE(A156, ""yo"", ""en"")"),"I haven't read the book, so I don't have anything to say.")</f>
        <v>I haven't read the book, so I don't have anything to say.</v>
      </c>
    </row>
    <row r="157" ht="15.75" customHeight="1">
      <c r="A157" s="2" t="s">
        <v>208</v>
      </c>
      <c r="B157" s="2" t="str">
        <f>IFERROR(__xludf.DUMMYFUNCTION("GOOGLETRANSLATE(A157, ""yo"", ""en"")"),"Maybe in the future."" ""The issue of June 12 is more difficult than people think because they don't know what happened.")</f>
        <v>Maybe in the future." "The issue of June 12 is more difficult than people think because they don't know what happened.</v>
      </c>
    </row>
    <row r="158" ht="15.75" customHeight="1">
      <c r="A158" s="2" t="s">
        <v>209</v>
      </c>
      <c r="B158" s="2" t="str">
        <f>IFERROR(__xludf.DUMMYFUNCTION("GOOGLETRANSLATE(A158, ""yo"", ""en"")"),"I will not say anything now,"" Al-Mustapha explained.")</f>
        <v>I will not say anything now," Al-Mustapha explained.</v>
      </c>
    </row>
    <row r="159" ht="15.75" customHeight="1">
      <c r="A159" s="2" t="s">
        <v>210</v>
      </c>
      <c r="B159" s="2" t="str">
        <f>IFERROR(__xludf.DUMMYFUNCTION("GOOGLETRANSLATE(A159, ""yo"", ""en"")"),"When they asked Admiral Hamza Almustapha how his boss survived, he said: ""I have said this great thing at the Oputa investigation committee.")</f>
        <v>When they asked Admiral Hamza Almustapha how his boss survived, he said: "I have said this great thing at the Oputa investigation committee.</v>
      </c>
    </row>
    <row r="160" ht="15.75" customHeight="1">
      <c r="A160" s="2" t="s">
        <v>211</v>
      </c>
      <c r="B160" s="2" t="str">
        <f>IFERROR(__xludf.DUMMYFUNCTION("GOOGLETRANSLATE(A160, ""yo"", ""en"")"),"""At that time, many things happened and the government was led with conflict and trouble, which did not stop with money.")</f>
        <v>"At that time, many things happened and the government was led with conflict and trouble, which did not stop with money.</v>
      </c>
    </row>
    <row r="161" ht="15.75" customHeight="1">
      <c r="A161" s="2" t="s">
        <v>212</v>
      </c>
      <c r="B161" s="2" t="str">
        <f>IFERROR(__xludf.DUMMYFUNCTION("GOOGLETRANSLATE(A161, ""yo"", ""en"")"),"We went to the country of Libya with many people to see how they solve their problems because the law has come to Libya for a long time.")</f>
        <v>We went to the country of Libya with many people to see how they solve their problems because the law has come to Libya for a long time.</v>
      </c>
    </row>
    <row r="162" ht="15.75" customHeight="1">
      <c r="A162" s="2" t="s">
        <v>213</v>
      </c>
      <c r="B162" s="2" t="str">
        <f>IFERROR(__xludf.DUMMYFUNCTION("GOOGLETRANSLATE(A162, ""yo"", ""en"")"),"Libya has been under law for eleven years.")</f>
        <v>Libya has been under law for eleven years.</v>
      </c>
    </row>
    <row r="163" ht="15.75" customHeight="1">
      <c r="A163" s="2" t="s">
        <v>214</v>
      </c>
      <c r="B163" s="2" t="str">
        <f>IFERROR(__xludf.DUMMYFUNCTION("GOOGLETRANSLATE(A163, ""yo"", ""en"")"),"""One of the things that we do is consider private companies that the government can collect money for to buy products that they sell to the public at a low price, as it is in Libya.")</f>
        <v>"One of the things that we do is consider private companies that the government can collect money for to buy products that they sell to the public at a low price, as it is in Libya.</v>
      </c>
    </row>
    <row r="164" ht="15.75" customHeight="1">
      <c r="A164" s="2" t="s">
        <v>215</v>
      </c>
      <c r="B164" s="2" t="str">
        <f>IFERROR(__xludf.DUMMYFUNCTION("GOOGLETRANSLATE(A164, ""yo"", ""en"")"),"""We did these things, and we are thankful that Nigeria is not messed up.")</f>
        <v>"We did these things, and we are thankful that Nigeria is not messed up.</v>
      </c>
    </row>
    <row r="165" ht="15.75" customHeight="1">
      <c r="A165" s="2" t="s">
        <v>216</v>
      </c>
      <c r="B165" s="2" t="str">
        <f>IFERROR(__xludf.DUMMYFUNCTION("GOOGLETRANSLATE(A15, ""yo"", ""en"")"),"‎""In the decision made by us members of parliament in Osun on the 19th of June 2025, and read out by the Speaker of the House, the step has been taken.")</f>
        <v>‎"In the decision made by us members of parliament in Osun on the 19th of June 2025, and read out by the Speaker of the House, the step has been taken.</v>
      </c>
    </row>
    <row r="166" ht="15.75" customHeight="1">
      <c r="A166" s="2" t="s">
        <v>217</v>
      </c>
      <c r="B166" s="2" t="str">
        <f>IFERROR(__xludf.DUMMYFUNCTION("GOOGLETRANSLATE(A166, ""yo"", ""en"")"),"They started accusing each other.")</f>
        <v>They started accusing each other.</v>
      </c>
    </row>
    <row r="167" ht="15.75" customHeight="1">
      <c r="A167" s="2" t="s">
        <v>218</v>
      </c>
      <c r="B167" s="2" t="str">
        <f>IFERROR(__xludf.DUMMYFUNCTION("GOOGLETRANSLATE(A167, ""yo"", ""en"")"),"I don't believe that all the money they recovered was taken in Abacha's name.")</f>
        <v>I don't believe that all the money they recovered was taken in Abacha's name.</v>
      </c>
    </row>
    <row r="168" ht="15.75" customHeight="1">
      <c r="A168" s="2" t="s">
        <v>219</v>
      </c>
      <c r="B168" s="2" t="str">
        <f>IFERROR(__xludf.DUMMYFUNCTION("GOOGLETRANSLATE(A168, ""yo"", ""en"")"),"""Many citizens are using their money to make money for Nigeria.")</f>
        <v>"Many citizens are using their money to make money for Nigeria.</v>
      </c>
    </row>
    <row r="169" ht="15.75" customHeight="1">
      <c r="A169" s="2" t="s">
        <v>220</v>
      </c>
      <c r="B169" s="2" t="str">
        <f>IFERROR(__xludf.DUMMYFUNCTION("GOOGLETRANSLATE(A169, ""yo"", ""en"")"),"Some take it and return it, and some keep it.")</f>
        <v>Some take it and return it, and some keep it.</v>
      </c>
    </row>
    <row r="170" ht="15.75" customHeight="1">
      <c r="A170" s="2" t="s">
        <v>221</v>
      </c>
      <c r="B170" s="2" t="str">
        <f>IFERROR(__xludf.DUMMYFUNCTION("GOOGLETRANSLATE(A170, ""yo"", ""en"")"),"""The question that should be asked is, is Abacha going to the sea?")</f>
        <v>"The question that should be asked is, is Abacha going to the sea?</v>
      </c>
    </row>
    <row r="171" ht="15.75" customHeight="1">
      <c r="A171" s="2" t="s">
        <v>222</v>
      </c>
      <c r="B171" s="2" t="str">
        <f>IFERROR(__xludf.DUMMYFUNCTION("GOOGLETRANSLATE(A171, ""yo"", ""en"")"),"Is the money they took back with Abacha's name?")</f>
        <v>Is the money they took back with Abacha's name?</v>
      </c>
    </row>
    <row r="172" ht="15.75" customHeight="1">
      <c r="A172" s="2" t="s">
        <v>223</v>
      </c>
      <c r="B172" s="2" t="str">
        <f>IFERROR(__xludf.DUMMYFUNCTION("GOOGLETRANSLATE(A172, ""yo"", ""en"")"),"No,"" Al-Mustapha explained.")</f>
        <v>No," Al-Mustapha explained.</v>
      </c>
    </row>
    <row r="173" ht="15.75" customHeight="1">
      <c r="A173" s="2" t="s">
        <v>224</v>
      </c>
      <c r="B173" s="2" t="str">
        <f>IFERROR(__xludf.DUMMYFUNCTION("GOOGLETRANSLATE(A173, ""yo"", ""en"")"),"Hamza Al-Mustapha's advanced army has defeated the Awarawa government as it has been for twenty-six years now.")</f>
        <v>Hamza Al-Mustapha's advanced army has defeated the Awarawa government as it has been for twenty-six years now.</v>
      </c>
    </row>
    <row r="174" ht="15.75" customHeight="1">
      <c r="A174" s="2" t="s">
        <v>225</v>
      </c>
      <c r="B174" s="2" t="str">
        <f>IFERROR(__xludf.DUMMYFUNCTION("GOOGLETRANSLATE(A174, ""yo"", ""en"")"),"Well, he said there is no change in the lives of the people, including the weak security system, work and poverty that the people are facing.")</f>
        <v>Well, he said there is no change in the lives of the people, including the weak security system, work and poverty that the people are facing.</v>
      </c>
    </row>
    <row r="175" ht="15.75" customHeight="1">
      <c r="A175" s="2" t="s">
        <v>226</v>
      </c>
      <c r="B175" s="2" t="str">
        <f>IFERROR(__xludf.DUMMYFUNCTION("GOOGLETRANSLATE(A175, ""yo"", ""en"")"),"""There is a government of Awarawa, but punishing the people is meaningless, and it is an insult to the government of Awarawa,"" said Al-Mustapha.")</f>
        <v>"There is a government of Awarawa, but punishing the people is meaningless, and it is an insult to the government of Awarawa," said Al-Mustapha.</v>
      </c>
    </row>
    <row r="176" ht="15.75" customHeight="1">
      <c r="A176" s="2" t="s">
        <v>227</v>
      </c>
      <c r="B176" s="2" t="str">
        <f>IFERROR(__xludf.DUMMYFUNCTION("GOOGLETRANSLATE(A176, ""yo"", ""en"")"),"Admiral Hamza Al-Mustapha explained, ""Insha Allah.")</f>
        <v>Admiral Hamza Al-Mustapha explained, "Insha Allah.</v>
      </c>
    </row>
    <row r="177" ht="15.75" customHeight="1">
      <c r="A177" s="2" t="s">
        <v>228</v>
      </c>
      <c r="B177" s="2" t="str">
        <f>IFERROR(__xludf.DUMMYFUNCTION("GOOGLETRANSLATE(A177, ""yo"", ""en"")"),"I tried once but now I fail again.")</f>
        <v>I tried once but now I fail again.</v>
      </c>
    </row>
    <row r="178" ht="15.75" customHeight="1">
      <c r="A178" s="2" t="s">
        <v>229</v>
      </c>
      <c r="B178" s="2" t="str">
        <f>IFERROR(__xludf.DUMMYFUNCTION("GOOGLETRANSLATE(A178, ""yo"", ""en"")"),"This is the reason why we talked to some countries that they should look at Nigeria with imagination especially regarding the electoral system.")</f>
        <v>This is the reason why we talked to some countries that they should look at Nigeria with imagination especially regarding the electoral system.</v>
      </c>
    </row>
    <row r="179" ht="15.75" customHeight="1">
      <c r="A179" s="2" t="s">
        <v>230</v>
      </c>
      <c r="B179" s="2" t="str">
        <f>IFERROR(__xludf.DUMMYFUNCTION("GOOGLETRANSLATE(A179, ""yo"", ""en"")"),"Because all the results of the election are fake."" ""I have nothing to do with this because it is something that I see as kicking my faith.")</f>
        <v>Because all the results of the election are fake." "I have nothing to do with this because it is something that I see as kicking my faith.</v>
      </c>
    </row>
    <row r="180" ht="15.75" customHeight="1">
      <c r="A180" s="2" t="s">
        <v>231</v>
      </c>
      <c r="B180" s="2" t="str">
        <f>IFERROR(__xludf.DUMMYFUNCTION("GOOGLETRANSLATE(A180, ""yo"", ""en"")"),"If I see something that is not good enough, I will not be involved in it or do something shameful that will damage our reputation.")</f>
        <v>If I see something that is not good enough, I will not be involved in it or do something shameful that will damage our reputation.</v>
      </c>
    </row>
    <row r="181" ht="15.75" customHeight="1">
      <c r="A181" s="2" t="s">
        <v>232</v>
      </c>
      <c r="B181" s="2" t="str">
        <f>IFERROR(__xludf.DUMMYFUNCTION("GOOGLETRANSLATE(A181, ""yo"", ""en"")"),"""People in APC are using our people to not give them the opportunity to join a political party, God willing, I don't want anyone to do that or use me to do that for my country.")</f>
        <v>"People in APC are using our people to not give them the opportunity to join a political party, God willing, I don't want anyone to do that or use me to do that for my country.</v>
      </c>
    </row>
    <row r="182" ht="15.75" customHeight="1">
      <c r="A182" s="2" t="s">
        <v>233</v>
      </c>
      <c r="B182" s="2" t="str">
        <f>IFERROR(__xludf.DUMMYFUNCTION("GOOGLETRANSLATE(A182, ""yo"", ""en"")"),"""No amount of money they can bring us will make me do evil to Nigerians.")</f>
        <v>"No amount of money they can bring us will make me do evil to Nigerians.</v>
      </c>
    </row>
    <row r="183" ht="15.75" customHeight="1">
      <c r="A183" s="2" t="s">
        <v>234</v>
      </c>
      <c r="B183" s="2" t="str">
        <f>IFERROR(__xludf.DUMMYFUNCTION("GOOGLETRANSLATE(A183, ""yo"", ""en"")"),"Every year when the presidents are on the air, they talk to the people from the president's house.")</f>
        <v>Every year when the presidents are on the air, they talk to the people from the president's house.</v>
      </c>
    </row>
    <row r="184" ht="15.75" customHeight="1">
      <c r="A184" s="2" t="s">
        <v>235</v>
      </c>
      <c r="B184" s="2" t="str">
        <f>IFERROR(__xludf.DUMMYFUNCTION("GOOGLETRANSLATE(A184, ""yo"", ""en"")"),"But this year, President Bola Tinubu's parliament held a meeting on June 12, and announced some steps taken by his government.")</f>
        <v>But this year, President Bola Tinubu's parliament held a meeting on June 12, and announced some steps taken by his government.</v>
      </c>
    </row>
    <row r="185" ht="15.75" customHeight="1">
      <c r="A185" s="2" t="s">
        <v>236</v>
      </c>
      <c r="B185" s="2" t="str">
        <f>IFERROR(__xludf.DUMMYFUNCTION("GOOGLETRANSLATE(A185, ""yo"", ""en"")"),"In his speech, President Tinubu announced that he has used the great knowledge of Nigeria to create some people who made a great impact on June 12, 1993.")</f>
        <v>In his speech, President Tinubu announced that he has used the great knowledge of Nigeria to create some people who made a great impact on June 12, 1993.</v>
      </c>
    </row>
    <row r="186" ht="15.75" customHeight="1">
      <c r="A186" s="2" t="s">
        <v>237</v>
      </c>
      <c r="B186" s="2" t="str">
        <f>IFERROR(__xludf.DUMMYFUNCTION("GOOGLETRANSLATE(A186, ""yo"", ""en"")"),"President Bola Tinubu with great intelligence, Kudirat Abiola, the wife of the late Moshood Abiola, the chairman of the National Electoral Commission (NEC) at the time, Humphrey Nwosu, recognized the former vice president, Shehu Yar'Adua, and others, tomo"&amp;"rrow.")</f>
        <v>President Bola Tinubu with great intelligence, Kudirat Abiola, the wife of the late Moshood Abiola, the chairman of the National Electoral Commission (NEC) at the time, Humphrey Nwosu, recognized the former vice president, Shehu Yar'Adua, and others, tomorrow.</v>
      </c>
    </row>
    <row r="187" ht="15.75" customHeight="1">
      <c r="A187" s="2" t="s">
        <v>238</v>
      </c>
      <c r="B187" s="2" t="str">
        <f>IFERROR(__xludf.DUMMYFUNCTION("GOOGLETRANSLATE(A187, ""yo"", ""en"")"),"If you forget, Moshood Abiola was announced as the winner of the 1993 presidential election.")</f>
        <v>If you forget, Moshood Abiola was announced as the winner of the 1993 presidential election.</v>
      </c>
    </row>
    <row r="188" ht="15.75" customHeight="1">
      <c r="A188" s="2" t="s">
        <v>239</v>
      </c>
      <c r="B188" s="2" t="str">
        <f>IFERROR(__xludf.DUMMYFUNCTION("GOOGLETRANSLATE(A188, ""yo"", ""en"")"),"BBC News Yoruba news on your WhatsApp Join us at End of podcast promotion ""As we celebrate twenty-six years of Awawara government, the right thing is to use great wisdom to help people who have great influence to see that we get Awaarawa government for o"&amp;"ur country, tomorrow,"" said Tinubu.")</f>
        <v>BBC News Yoruba news on your WhatsApp Join us at End of podcast promotion "As we celebrate twenty-six years of Awawara government, the right thing is to use great wisdom to help people who have great influence to see that we get Awaarawa government for our country, tomorrow," said Tinubu.</v>
      </c>
    </row>
    <row r="189" ht="15.75" customHeight="1">
      <c r="A189" s="2" t="s">
        <v>240</v>
      </c>
      <c r="B189" s="2" t="str">
        <f>IFERROR(__xludf.DUMMYFUNCTION("GOOGLETRANSLATE(A189, ""yo"", ""en"")"),"""With this, I am announcing the resignation of Kudirat Abiola from the CFR tomorrow, for his absence on June 12."" Likewise, President Tinubu also awarded the CON title to Nwosu and the GCFR title to Shehu Musa Yar'Adua tomorrow.")</f>
        <v>"With this, I am announcing the resignation of Kudirat Abiola from the CFR tomorrow, for his absence on June 12." Likewise, President Tinubu also awarded the CON title to Nwosu and the GCFR title to Shehu Musa Yar'Adua tomorrow.</v>
      </c>
    </row>
    <row r="190" ht="15.75" customHeight="1">
      <c r="A190" s="2" t="s">
        <v>241</v>
      </c>
      <c r="B190" s="2" t="str">
        <f>IFERROR(__xludf.DUMMYFUNCTION("GOOGLETRANSLATE(A190, ""yo"", ""en"")"),"Others whom the president has informed tomorrow are Rear Admiral Ndubuisi Kanu (CON), Alhaji Balarabe Musa (CFR), Pa.")</f>
        <v>Others whom the president has informed tomorrow are Rear Admiral Ndubuisi Kanu (CON), Alhaji Balarabe Musa (CFR), Pa.</v>
      </c>
    </row>
    <row r="191" ht="15.75" customHeight="1">
      <c r="A191" s="2" t="s">
        <v>242</v>
      </c>
      <c r="B191" s="2" t="str">
        <f>IFERROR(__xludf.DUMMYFUNCTION("GOOGLETRANSLATE(A191, ""yo"", ""en"")"),"Alfred Rewani (CFR), Bagauda Kaltho (OON), Chima Ubani (OON), Dr.")</f>
        <v>Alfred Rewani (CFR), Bagauda Kaltho (OON), Chima Ubani (OON), Dr.</v>
      </c>
    </row>
    <row r="192" ht="15.75" customHeight="1">
      <c r="A192" s="2" t="s">
        <v>243</v>
      </c>
      <c r="B192" s="2" t="str">
        <f>IFERROR(__xludf.DUMMYFUNCTION("GOOGLETRANSLATE(A192, ""yo"", ""en"")"),"Beko Ransome-Kuti (CON), Alao Aka Bashorun (CON), Chief Frank Kokori (CON), Emma Ezeazu (OON), Bamidele Aturu (OON), Fredrick Fasehun (CON), Professor Festus Iyayi (CON), Dr John Yima Sen (OON), Alhaja Sawaba Gambo (CON), Dr.")</f>
        <v>Beko Ransome-Kuti (CON), Alao Aka Bashorun (CON), Chief Frank Kokori (CON), Emma Ezeazu (OON), Bamidele Aturu (OON), Fredrick Fasehun (CON), Professor Festus Iyayi (CON), Dr John Yima Sen (OON), Alhaja Sawaba Gambo (CON), Dr.</v>
      </c>
    </row>
    <row r="193" ht="15.75" customHeight="1">
      <c r="A193" s="2" t="s">
        <v>244</v>
      </c>
      <c r="B193" s="2" t="str">
        <f>IFERROR(__xludf.DUMMYFUNCTION("GOOGLETRANSLATE(A193, ""yo"", ""en"")"),"Edwin Madunagu (CON), Dr.")</f>
        <v>Edwin Madunagu (CON), Dr.</v>
      </c>
    </row>
    <row r="194" ht="15.75" customHeight="1">
      <c r="A194" s="2" t="s">
        <v>245</v>
      </c>
      <c r="B194" s="2" t="str">
        <f>IFERROR(__xludf.DUMMYFUNCTION("GOOGLETRANSLATE(A194, ""yo"", ""en"")"),"Alex Ibru (CON), Chief Bola Ige (CFR), Pa.")</f>
        <v>Alex Ibru (CON), Chief Bola Ige (CFR), Pa.</v>
      </c>
    </row>
    <row r="195" ht="15.75" customHeight="1">
      <c r="A195" s="2" t="s">
        <v>246</v>
      </c>
      <c r="B195" s="2" t="str">
        <f>IFERROR(__xludf.DUMMYFUNCTION("GOOGLETRANSLATE(A195, ""yo"", ""en"")"),"Reuben Fasoranti (CFR), Sen.")</f>
        <v>Reuben Fasoranti (CFR), Sen.</v>
      </c>
    </row>
    <row r="196" ht="15.75" customHeight="1">
      <c r="A196" s="2" t="s">
        <v>247</v>
      </c>
      <c r="B196" s="2" t="str">
        <f>IFERROR(__xludf.DUMMYFUNCTION("GOOGLETRANSLATE(A196, ""yo"", ""en"")"),"Ayo Fasanmi (CON), Sen.")</f>
        <v>Ayo Fasanmi (CON), Sen.</v>
      </c>
    </row>
    <row r="197" ht="15.75" customHeight="1">
      <c r="A197" s="2" t="s">
        <v>248</v>
      </c>
      <c r="B197" s="2" t="str">
        <f>IFERROR(__xludf.DUMMYFUNCTION("GOOGLETRANSLATE(A197, ""yo"", ""en"")"),"Polycarp Nwite (CON) and Dr.")</f>
        <v>Polycarp Nwite (CON) and Dr.</v>
      </c>
    </row>
    <row r="198" ht="15.75" customHeight="1">
      <c r="A198" s="2" t="s">
        <v>249</v>
      </c>
      <c r="B198" s="2" t="str">
        <f>IFERROR(__xludf.DUMMYFUNCTION("GOOGLETRANSLATE(A198, ""yo"", ""en"")"),"Nurudeen Olowopopo (CON),"" the President announced.")</f>
        <v>Nurudeen Olowopopo (CON)," the President announced.</v>
      </c>
    </row>
    <row r="199" ht="15.75" customHeight="1">
      <c r="A199" s="2" t="s">
        <v>250</v>
      </c>
      <c r="B199" s="2" t="str">
        <f>IFERROR(__xludf.DUMMYFUNCTION("GOOGLETRANSLATE(A199, ""yo"", ""en"")"),"Apart from this, my people who are the president are also the humanitarian and lawyer, Femi Falana, the writer, Wole Soyinka, and the Bishop of Sokoto Diocese, Hassan Kukah.")</f>
        <v>Apart from this, my people who are the president are also the humanitarian and lawyer, Femi Falana, the writer, Wole Soyinka, and the Bishop of Sokoto Diocese, Hassan Kukah.</v>
      </c>
    </row>
    <row r="200" ht="15.75" customHeight="1">
      <c r="A200" s="2" t="s">
        <v>251</v>
      </c>
      <c r="B200" s="2" t="str">
        <f>IFERROR(__xludf.DUMMYFUNCTION("GOOGLETRANSLATE(A200, ""yo"", ""en"")"),"President Tinubu also did not realize that, it is a lie that is far from the truth that he banned INEC from allowing the establishment of a new political party as reported by a news outlet.")</f>
        <v>President Tinubu also did not realize that, it is a lie that is far from the truth that he banned INEC from allowing the establishment of a new political party as reported by a news outlet.</v>
      </c>
    </row>
    <row r="201" ht="15.75" customHeight="1">
      <c r="A201" s="2" t="s">
        <v>252</v>
      </c>
      <c r="B201" s="2" t="str">
        <f>IFERROR(__xludf.DUMMYFUNCTION("GOOGLETRANSLATE(A201, ""yo"", ""en"")"),"The President did not take any steps to prevent INEC from allowing the establishment of a new political party.")</f>
        <v>The President did not take any steps to prevent INEC from allowing the establishment of a new political party.</v>
      </c>
    </row>
    <row r="202" ht="15.75" customHeight="1">
      <c r="A202" s="2" t="s">
        <v>253</v>
      </c>
      <c r="B202" s="2" t="str">
        <f>IFERROR(__xludf.DUMMYFUNCTION("GOOGLETRANSLATE(A202, ""yo"", ""en"")"),"""I am not saying that there will be no new political party."" He said the All Progressives Congress, APC, will be guilty of many charges if it does not allow people to join the political party.")</f>
        <v>"I am not saying that there will be no new political party." He said the All Progressives Congress, APC, will be guilty of many charges if it does not allow people to join the political party.</v>
      </c>
    </row>
    <row r="203" ht="15.75" customHeight="1">
      <c r="A203" s="2" t="s">
        <v>254</v>
      </c>
      <c r="B203" s="2" t="str">
        <f>IFERROR(__xludf.DUMMYFUNCTION("GOOGLETRANSLATE(A203, ""yo"", ""en"")"),"He then greeted the new members from Delta and Akwa Ibom states, ""Welcome to the extension team."" Likewise, Tinubu is not ready to help any political party to clean up their house because he is happy with how he is messing up.")</f>
        <v>He then greeted the new members from Delta and Akwa Ibom states, "Welcome to the extension team." Likewise, Tinubu is not ready to help any political party to clean up their house because he is happy with how he is messing up.</v>
      </c>
    </row>
    <row r="204" ht="15.75" customHeight="1">
      <c r="A204" s="2" t="s">
        <v>255</v>
      </c>
      <c r="B204" s="2" t="str">
        <f>IFERROR(__xludf.DUMMYFUNCTION("GOOGLETRANSLATE(A204, ""yo"", ""en"")"),"""It's nice not having to watch your house get messed up."" President Bola Tinubu promised to protect the right of the people to say whatever they want to say.")</f>
        <v>"It's nice not having to watch your house get messed up." President Bola Tinubu promised to protect the right of the people to say whatever they want to say.</v>
      </c>
    </row>
    <row r="205" ht="15.75" customHeight="1">
      <c r="A205" s="2" t="s">
        <v>256</v>
      </c>
      <c r="B205" s="2" t="str">
        <f>IFERROR(__xludf.DUMMYFUNCTION("GOOGLETRANSLATE(A205, ""yo"", ""en"")"),"The president told security officials not to be intimidated by anyone who criticizes his administration.")</f>
        <v>The president told security officials not to be intimidated by anyone who criticizes his administration.</v>
      </c>
    </row>
    <row r="206" ht="15.75" customHeight="1">
      <c r="A206" s="2" t="s">
        <v>257</v>
      </c>
      <c r="B206" s="2" t="str">
        <f>IFERROR(__xludf.DUMMYFUNCTION("GOOGLETRANSLATE(A206, ""yo"", ""en"")"),"""Awawarawa government allows people to say what they want or submit to the government.")</f>
        <v>"Awawarawa government allows people to say what they want or submit to the government.</v>
      </c>
    </row>
    <row r="207" ht="15.75" customHeight="1">
      <c r="A207" s="2" t="s">
        <v>258</v>
      </c>
      <c r="B207" s="2" t="str">
        <f>IFERROR(__xludf.DUMMYFUNCTION("GOOGLETRANSLATE(A207, ""yo"", ""en"")"),"""Call me by my name, call me what you want to call me, because the government says you have the right to do so."" In the same way, the president called on politicians to allow dialogue instead of ordering it or suppressing human rights.")</f>
        <v>"Call me by my name, call me what you want to call me, because the government says you have the right to do so." In the same way, the president called on politicians to allow dialogue instead of ordering it or suppressing human rights.</v>
      </c>
    </row>
    <row r="208" ht="15.75" customHeight="1">
      <c r="A208" s="2" t="s">
        <v>259</v>
      </c>
      <c r="B208" s="2" t="str">
        <f>IFERROR(__xludf.DUMMYFUNCTION("GOOGLETRANSLATE(A208, ""yo"", ""en"")"),"President Bola Tinubu in the presidential office has forgiven the late humanitarian, Ken Saro Wiwa and eight others who are from Ogoni land, who are called the Ogoni Nine.")</f>
        <v>President Bola Tinubu in the presidential office has forgiven the late humanitarian, Ken Saro Wiwa and eight others who are from Ogoni land, who are called the Ogoni Nine.</v>
      </c>
    </row>
    <row r="209" ht="15.75" customHeight="1">
      <c r="A209" s="2" t="s">
        <v>260</v>
      </c>
      <c r="B209" s="2" t="str">
        <f>IFERROR(__xludf.DUMMYFUNCTION("GOOGLETRANSLATE(A209, ""yo"", ""en"")"),"Tinubu described these people as heroes for the Nigerian nation, and also announced that they will raise a flag in their name.")</f>
        <v>Tinubu described these people as heroes for the Nigerian nation, and also announced that they will raise a flag in their name.</v>
      </c>
    </row>
    <row r="210" ht="15.75" customHeight="1">
      <c r="A210" s="2" t="s">
        <v>261</v>
      </c>
      <c r="B210" s="2" t="str">
        <f>IFERROR(__xludf.DUMMYFUNCTION("GOOGLETRANSLATE(A210, ""yo"", ""en"")"),"The other children are Saturday Dobee, Nordu Eawo, Daniel Gbooko, Paul Levera, Felix Nuate, Baribor Bera, Barinem Kiobel, and John Kpuine.")</f>
        <v>The other children are Saturday Dobee, Nordu Eawo, Daniel Gbooko, Paul Levera, Felix Nuate, Baribor Bera, Barinem Kiobel, and John Kpuine.</v>
      </c>
    </row>
    <row r="211" ht="15.75" customHeight="1">
      <c r="A211" s="2" t="s">
        <v>262</v>
      </c>
      <c r="B211" s="2" t="str">
        <f>IFERROR(__xludf.DUMMYFUNCTION("GOOGLETRANSLATE(A211, ""yo"", ""en"")"),"""Also, I gave them the big award of Nigeria; Ken Saro Wiwa (CON), Saturday Dobee (OON), Nordu Eawo (OON), Daniel Gbooko (OON), Paul Levera (OON), Felix Nuate (OON), Baribor Bera (OON), Barinem Kiobel (OON), and John Kpuine (OON).")</f>
        <v>"Also, I gave them the big award of Nigeria; Ken Saro Wiwa (CON), Saturday Dobee (OON), Nordu Eawo (OON), Daniel Gbooko (OON), Paul Levera (OON), Felix Nuate (OON), Baribor Bera (OON), Barinem Kiobel (OON), and John Kpuine (OON).</v>
      </c>
    </row>
    <row r="212" ht="15.75" customHeight="1">
      <c r="A212" s="2" t="s">
        <v>263</v>
      </c>
      <c r="B212" s="2" t="str">
        <f>IFERROR(__xludf.DUMMYFUNCTION("GOOGLETRANSLATE(A212, ""yo"", ""en"")"),"""I will use my power to pardon the government and announce their names recently."" Saro Wiwa and his accomplices were accused of murder, and were acquitted in 1995 under the late Sani Abacha regime.")</f>
        <v>"I will use my power to pardon the government and announce their names recently." Saro Wiwa and his accomplices were accused of murder, and were acquitted in 1995 under the late Sani Abacha regime.</v>
      </c>
    </row>
    <row r="213" ht="15.75" customHeight="1">
      <c r="A213" s="2" t="s">
        <v>264</v>
      </c>
      <c r="B213" s="2" t="str">
        <f>IFERROR(__xludf.DUMMYFUNCTION("GOOGLETRANSLATE(A213, ""yo"", ""en"")"),"Do Nigerians believe that since Abacha is our dictator, the bad military is also beating the money of this country.")</f>
        <v>Do Nigerians believe that since Abacha is our dictator, the bad military is also beating the money of this country.</v>
      </c>
    </row>
    <row r="214" ht="15.75" customHeight="1">
      <c r="A214" s="2" t="s">
        <v>265</v>
      </c>
      <c r="B214" s="2" t="str">
        <f>IFERROR(__xludf.DUMMYFUNCTION("GOOGLETRANSLATE(A214, ""yo"", ""en"")"),"This is the same with how much money is coming into Nigeria from the countries of the world that the late Sani sent this country's money to.")</f>
        <v>This is the same with how much money is coming into Nigeria from the countries of the world that the late Sani sent this country's money to.</v>
      </c>
    </row>
    <row r="215" ht="15.75" customHeight="1">
      <c r="A215" s="2" t="s">
        <v>266</v>
      </c>
      <c r="B215" s="2" t="str">
        <f>IFERROR(__xludf.DUMMYFUNCTION("GOOGLETRANSLATE(A215, ""yo"", ""en"")"),"And there is almost no government that has not received a call from overseas after Abacha, and the countries are telling them that Abacha brought Nigeria to them, and they are returning the money.")</f>
        <v>And there is almost no government that has not received a call from overseas after Abacha, and the countries are telling them that Abacha brought Nigeria to them, and they are returning the money.</v>
      </c>
    </row>
    <row r="216" ht="15.75" customHeight="1">
      <c r="A216" s="2" t="s">
        <v>267</v>
      </c>
      <c r="B216" s="2" t="str">
        <f>IFERROR(__xludf.DUMMYFUNCTION("GOOGLETRANSLATE(A16, ""yo"", ""en"")"),"We are saddened as the chairpersons of the local government election organization in Osun state swore for 2022, but after the judgment of the Supreme Court dismissed them, they are still going around now, calling themselves the chairperson.")</f>
        <v>We are saddened as the chairpersons of the local government election organization in Osun state swore for 2022, but after the judgment of the Supreme Court dismissed them, they are still going around now, calling themselves the chairperson.</v>
      </c>
    </row>
    <row r="217" ht="15.75" customHeight="1">
      <c r="A217" s="2" t="s">
        <v>268</v>
      </c>
      <c r="B217" s="2" t="str">
        <f>IFERROR(__xludf.DUMMYFUNCTION("GOOGLETRANSLATE(A217, ""yo"", ""en"")"),"Abileko Abacha added that her husband keeps money for Nigeria, not that he hides it.")</f>
        <v>Abileko Abacha added that her husband keeps money for Nigeria, not that he hides it.</v>
      </c>
    </row>
    <row r="218" ht="15.75" customHeight="1">
      <c r="A218" s="2" t="s">
        <v>269</v>
      </c>
      <c r="B218" s="2" t="str">
        <f>IFERROR(__xludf.DUMMYFUNCTION("GOOGLETRANSLATE(A218, ""yo"", ""en"")"),"He has money that he has left behind the government, it is as if he has turned it on, and the world does not see that, except for the identity that they are moving around.")</f>
        <v>He has money that he has left behind the government, it is as if he has turned it on, and the world does not see that, except for the identity that they are moving around.</v>
      </c>
    </row>
    <row r="219" ht="15.75" customHeight="1">
      <c r="A219" s="2" t="s">
        <v>270</v>
      </c>
      <c r="B219" s="2" t="str">
        <f>IFERROR(__xludf.DUMMYFUNCTION("GOOGLETRANSLATE(A219, ""yo"", ""en"")"),"""Here he is trying to do this, he has taken the step of calling Nigerians stupid.")</f>
        <v>"Here he is trying to do this, he has taken the step of calling Nigerians stupid.</v>
      </c>
    </row>
    <row r="220" ht="15.75" customHeight="1">
      <c r="A220" s="2" t="s">
        <v>271</v>
      </c>
      <c r="B220" s="2" t="str">
        <f>IFERROR(__xludf.DUMMYFUNCTION("GOOGLETRANSLATE(A220, ""yo"", ""en"")"),"This is what the famous journalist and writer said about the issue going on in society, Festus Adedayo told BBC Yoruba.")</f>
        <v>This is what the famous journalist and writer said about the issue going on in society, Festus Adedayo told BBC Yoruba.</v>
      </c>
    </row>
    <row r="221" ht="15.75" customHeight="1">
      <c r="A221" s="2" t="s">
        <v>272</v>
      </c>
      <c r="B221" s="2" t="str">
        <f>IFERROR(__xludf.DUMMYFUNCTION("GOOGLETRANSLATE(A221, ""yo"", ""en"")"),"However, he added, ""Abileko Abacha's statement that her husband kept Nigeria's money abroad made me laugh a lot, and there is no financial wisdom there, no matter what.")</f>
        <v>However, he added, "Abileko Abacha's statement that her husband kept Nigeria's money abroad made me laugh a lot, and there is no financial wisdom there, no matter what.</v>
      </c>
    </row>
    <row r="222" ht="15.75" customHeight="1">
      <c r="A222" s="2" t="s">
        <v>273</v>
      </c>
      <c r="B222" s="2" t="str">
        <f>IFERROR(__xludf.DUMMYFUNCTION("GOOGLETRANSLATE(A222, ""yo"", ""en"")"),"""If the military government wants to keep Nigeria's money offshore and do so, there are steps and procedures for you."" Mr. Festus Adedayo said that what is certain is that such is not possible after the United Bank of Nigeria, which must authorize it.")</f>
        <v>"If the military government wants to keep Nigeria's money offshore and do so, there are steps and procedures for you." Mr. Festus Adedayo said that what is certain is that such is not possible after the United Bank of Nigeria, which must authorize it.</v>
      </c>
    </row>
    <row r="223" ht="15.75" customHeight="1">
      <c r="A223" s="2" t="s">
        <v>274</v>
      </c>
      <c r="B223" s="2" t="str">
        <f>IFERROR(__xludf.DUMMYFUNCTION("GOOGLETRANSLATE(A223, ""yo"", ""en"")"),"He added that the former Nigerian leader's wife wants to change her husband's name, this will be a little difficult and that Abilekho Abacha should be respected, with his funny defense.")</f>
        <v>He added that the former Nigerian leader's wife wants to change her husband's name, this will be a little difficult and that Abilekho Abacha should be respected, with his funny defense.</v>
      </c>
    </row>
    <row r="224" ht="15.75" customHeight="1">
      <c r="A224" s="2" t="s">
        <v>275</v>
      </c>
      <c r="B224" s="2" t="str">
        <f>IFERROR(__xludf.DUMMYFUNCTION("GOOGLETRANSLATE(A224, ""yo"", ""en"")"),"Scholar Adedayo compares the Abacha regime to world dictators such as Idi Amin Dada of Uganda, Augusto Pinochet of Chile, Francois Duvalier of Haiti and so on.")</f>
        <v>Scholar Adedayo compares the Abacha regime to world dictators such as Idi Amin Dada of Uganda, Augusto Pinochet of Chile, Francois Duvalier of Haiti and so on.</v>
      </c>
    </row>
    <row r="225" ht="15.75" customHeight="1">
      <c r="A225" s="2" t="s">
        <v>276</v>
      </c>
      <c r="B225" s="2" t="str">
        <f>IFERROR(__xludf.DUMMYFUNCTION("GOOGLETRANSLATE(A225, ""yo"", ""en"")"),"He said after he revealed the secret of Abacha, that he did not just steal the finger of the commander-in-chief, he also stole the money of the Nigerian people, unlike the person who is doing his organization.")</f>
        <v>He said after he revealed the secret of Abacha, that he did not just steal the finger of the commander-in-chief, he also stole the money of the Nigerian people, unlike the person who is doing his organization.</v>
      </c>
    </row>
    <row r="226" ht="15.75" customHeight="1">
      <c r="A226" s="2" t="s">
        <v>277</v>
      </c>
      <c r="B226" s="2" t="str">
        <f>IFERROR(__xludf.DUMMYFUNCTION("GOOGLETRANSLATE(A226, ""yo"", ""en"")"),"Adedayo said that all the stolen money of Abacha is not being recovered, and the money that a person does not have in this life anymore, shows that there are two devils who led Abacha during his reign: The devil of power that kills and the devil of money.")</f>
        <v>Adedayo said that all the stolen money of Abacha is not being recovered, and the money that a person does not have in this life anymore, shows that there are two devils who led Abacha during his reign: The devil of power that kills and the devil of money.</v>
      </c>
    </row>
    <row r="227" ht="15.75" customHeight="1">
      <c r="A227" s="2" t="s">
        <v>278</v>
      </c>
      <c r="B227" s="2" t="str">
        <f>IFERROR(__xludf.DUMMYFUNCTION("GOOGLETRANSLATE(A227, ""yo"", ""en"")"),"Makinde six years is enough for a leader if he knows what he is doing to make it easier for those who are ruling over it.")</f>
        <v>Makinde six years is enough for a leader if he knows what he is doing to make it easier for those who are ruling over it.</v>
      </c>
    </row>
    <row r="228" ht="15.75" customHeight="1">
      <c r="A228" s="2" t="s">
        <v>279</v>
      </c>
      <c r="B228" s="2" t="str">
        <f>IFERROR(__xludf.DUMMYFUNCTION("GOOGLETRANSLATE(A228, ""yo"", ""en"")"),"The governor has called on the legislators to take action on the proposal.")</f>
        <v>The governor has called on the legislators to take action on the proposal.</v>
      </c>
    </row>
    <row r="229" ht="15.75" customHeight="1">
      <c r="A229" s="2" t="s">
        <v>280</v>
      </c>
      <c r="B229" s="2" t="str">
        <f>IFERROR(__xludf.DUMMYFUNCTION("GOOGLETRANSLATE(A229, ""yo"", ""en"")"),"He said ""I have spent six years on understanding that even though we lost 2020 it is not anyone's fault.")</f>
        <v>He said "I have spent six years on understanding that even though we lost 2020 it is not anyone's fault.</v>
      </c>
    </row>
    <row r="230" ht="15.75" customHeight="1">
      <c r="A230" s="2" t="s">
        <v>281</v>
      </c>
      <c r="B230" s="2" t="str">
        <f>IFERROR(__xludf.DUMMYFUNCTION("GOOGLETRANSLATE(A230, ""yo"", ""en"")"),"""We still lost about a year when we campaigned for the election for the second time, now, people are still talking to us about what we should do after this.")</f>
        <v>"We still lost about a year when we campaigned for the election for the second time, now, people are still talking to us about what we should do after this.</v>
      </c>
    </row>
    <row r="231" ht="15.75" customHeight="1">
      <c r="A231" s="2" t="s">
        <v>282</v>
      </c>
      <c r="B231" s="2" t="str">
        <f>IFERROR(__xludf.DUMMYFUNCTION("GOOGLETRANSLATE(A231, ""yo"", ""en"")"),"""The reason why I think that these obstacles should be removed, is that only five or six years is enough for the accused to do the work we want to do."" Makinde said this when Muslims visited the government house in Agodi, Ibadan after the Ileya year pra"&amp;"yer.")</f>
        <v>"The reason why I think that these obstacles should be removed, is that only five or six years is enough for the accused to do the work we want to do." Makinde said this when Muslims visited the government house in Agodi, Ibadan after the Ileya year prayer.</v>
      </c>
    </row>
    <row r="232" ht="15.75" customHeight="1">
      <c r="A232" s="2" t="s">
        <v>283</v>
      </c>
      <c r="B232" s="2" t="str">
        <f>IFERROR(__xludf.DUMMYFUNCTION("GOOGLETRANSLATE(A232, ""yo"", ""en"")"),"He said even though the suggestion is legal, it is something that should not work for Nigeria if they can accept the suggestion.")</f>
        <v>He said even though the suggestion is legal, it is something that should not work for Nigeria if they can accept the suggestion.</v>
      </c>
    </row>
    <row r="233" ht="15.75" customHeight="1">
      <c r="A233" s="2" t="s">
        <v>284</v>
      </c>
      <c r="B233" s="2" t="str">
        <f>IFERROR(__xludf.DUMMYFUNCTION("GOOGLETRANSLATE(A233, ""yo"", ""en"")"),"As he said, he said the truth about the way politicians use intelligence and people should not be afraid to tell the truth because of what they want to be or the position they want to hold.")</f>
        <v>As he said, he said the truth about the way politicians use intelligence and people should not be afraid to tell the truth because of what they want to be or the position they want to hold.</v>
      </c>
    </row>
    <row r="234" ht="15.75" customHeight="1">
      <c r="A234" s="2" t="s">
        <v>285</v>
      </c>
      <c r="B234" s="2" t="str">
        <f>IFERROR(__xludf.DUMMYFUNCTION("GOOGLETRANSLATE(A234, ""yo"", ""en"")"),"Governor Oyo said that even though it is not the first time that such an issue will come out, it is something that should be considered by Nigerian lawmakers.")</f>
        <v>Governor Oyo said that even though it is not the first time that such an issue will come out, it is something that should be considered by Nigerian lawmakers.</v>
      </c>
    </row>
    <row r="235" ht="15.75" customHeight="1">
      <c r="A235" s="2" t="s">
        <v>286</v>
      </c>
      <c r="B235" s="2" t="str">
        <f>IFERROR(__xludf.DUMMYFUNCTION("GOOGLETRANSLATE(A235, ""yo"", ""en"")"),"Among those present at the meeting were Makinde's deputy, Abdulraheem Lawal, the Right Honorable President of Ibadan, Rashidi Ladoja; former deputy governor, Taofeek Arapaja; he knew two other deputy governors at one time, Hazeem Gbolarumi and Hamid Gbada"&amp;"mosi.")</f>
        <v>Among those present at the meeting were Makinde's deputy, Abdulraheem Lawal, the Right Honorable President of Ibadan, Rashidi Ladoja; former deputy governor, Taofeek Arapaja; he knew two other deputy governors at one time, Hazeem Gbolarumi and Hamid Gbadamosi.</v>
      </c>
    </row>
    <row r="236" ht="15.75" customHeight="1">
      <c r="A236" s="2" t="s">
        <v>287</v>
      </c>
      <c r="B236" s="2" t="str">
        <f>IFERROR(__xludf.DUMMYFUNCTION("GOOGLETRANSLATE(A236, ""yo"", ""en"")"),"Fubara also has a plan to make peace reign between the government and the state parliament which is currently underway.")</f>
        <v>Fubara also has a plan to make peace reign between the government and the state parliament which is currently underway.</v>
      </c>
    </row>
    <row r="237" ht="15.75" customHeight="1">
      <c r="A237" s="2" t="s">
        <v>288</v>
      </c>
      <c r="B237" s="2" t="str">
        <f>IFERROR(__xludf.DUMMYFUNCTION("GOOGLETRANSLATE(A237, ""yo"", ""en"")"),"Our fubara assured the people that the system of good government and good government will return to the state soon.")</f>
        <v>Our fubara assured the people that the system of good government and good government will return to the state soon.</v>
      </c>
    </row>
    <row r="238" ht="15.75" customHeight="1">
      <c r="A238" s="2" t="s">
        <v>289</v>
      </c>
      <c r="B238" s="2" t="str">
        <f>IFERROR(__xludf.DUMMYFUNCTION("GOOGLETRANSLATE(A238, ""yo"", ""en"")"),"This was published in a press release issued by the Governor's spokesperson, Nelson Chukwudi to journalists after the Governor spoke at a meeting of elders to celebrate his two years as the Governor of the state.")</f>
        <v>This was published in a press release issued by the Governor's spokesperson, Nelson Chukwudi to journalists after the Governor spoke at a meeting of elders to celebrate his two years as the Governor of the state.</v>
      </c>
    </row>
    <row r="239" ht="15.75" customHeight="1">
      <c r="A239" s="2" t="s">
        <v>290</v>
      </c>
      <c r="B239" s="2" t="str">
        <f>IFERROR(__xludf.DUMMYFUNCTION("GOOGLETRANSLATE(A239, ""yo"", ""en"")"),"""I assure you that the matter will be resolved and you will return to your office, not only that of the governors, but also the members of parliament.")</f>
        <v>"I assure you that the matter will be resolved and you will return to your office, not only that of the governors, but also the members of parliament.</v>
      </c>
    </row>
    <row r="240" ht="15.75" customHeight="1">
      <c r="A240" s="2" t="s">
        <v>291</v>
      </c>
      <c r="B240" s="2" t="str">
        <f>IFERROR(__xludf.DUMMYFUNCTION("GOOGLETRANSLATE(A240, ""yo"", ""en"")"),"The important thing for us now is to have a spirit of forgiveness."" Fubara urged all his supporters and all the people of Rivers state to thank President Bola Tinubu for the brave step he took to bring peace to Rivers state.")</f>
        <v>The important thing for us now is to have a spirit of forgiveness." Fubara urged all his supporters and all the people of Rivers state to thank President Bola Tinubu for the brave step he took to bring peace to Rivers state.</v>
      </c>
    </row>
    <row r="241" ht="15.75" customHeight="1">
      <c r="A241" s="2" t="s">
        <v>292</v>
      </c>
      <c r="B241" s="2" t="str">
        <f>IFERROR(__xludf.DUMMYFUNCTION("GOOGLETRANSLATE(A241, ""yo"", ""en"")"),"He urged them to allow peace, and to cooperate with the government to make peace reign.")</f>
        <v>He urged them to allow peace, and to cooperate with the government to make peace reign.</v>
      </c>
    </row>
    <row r="242" ht="15.75" customHeight="1">
      <c r="A242" s="2" t="s">
        <v>293</v>
      </c>
      <c r="B242" s="2" t="str">
        <f>IFERROR(__xludf.DUMMYFUNCTION("GOOGLETRANSLATE(A242, ""yo"", ""en"")"),"He said: ""We have started a peace process.")</f>
        <v>He said: "We have started a peace process.</v>
      </c>
    </row>
    <row r="243" ht="15.75" customHeight="1">
      <c r="A243" s="2" t="s">
        <v>294</v>
      </c>
      <c r="B243" s="2" t="str">
        <f>IFERROR(__xludf.DUMMYFUNCTION("GOOGLETRANSLATE(A243, ""yo"", ""en"")"),"I want you to thank the President for the step taken.")</f>
        <v>I want you to thank the President for the step taken.</v>
      </c>
    </row>
    <row r="244" ht="15.75" customHeight="1">
      <c r="A244" s="2" t="s">
        <v>295</v>
      </c>
      <c r="B244" s="2" t="str">
        <f>IFERROR(__xludf.DUMMYFUNCTION("GOOGLETRANSLATE(A244, ""yo"", ""en"")"),"""I don't know how the president heard the news, but the truth is that the president wisely did this at the right time.")</f>
        <v>"I don't know how the president heard the news, but the truth is that the president wisely did this at the right time.</v>
      </c>
    </row>
    <row r="245" ht="15.75" customHeight="1">
      <c r="A245" s="2" t="s">
        <v>296</v>
      </c>
      <c r="B245" s="2" t="str">
        <f>IFERROR(__xludf.DUMMYFUNCTION("GOOGLETRANSLATE(A245, ""yo"", ""en"")"),"We should thank the President for the step he took."" In the third month, President Bola Tinubu declared the city to be closed in Rivers state due to the political crisis that is happening there.")</f>
        <v>We should thank the President for the step he took." In the third month, President Bola Tinubu declared the city to be closed in Rivers state due to the political crisis that is happening there.</v>
      </c>
    </row>
    <row r="246" ht="15.75" customHeight="1">
      <c r="A246" s="2" t="s">
        <v>297</v>
      </c>
      <c r="B246" s="2" t="str">
        <f>IFERROR(__xludf.DUMMYFUNCTION("GOOGLETRANSLATE(A246, ""yo"", ""en"")"),"Here is the speech that the president spoke to Nigerians on Victory Day, the 18th day of March.")</f>
        <v>Here is the speech that the president spoke to Nigerians on Victory Day, the 18th day of March.</v>
      </c>
    </row>
    <row r="247" ht="15.75" customHeight="1">
      <c r="A247" s="2" t="s">
        <v>298</v>
      </c>
      <c r="B247" s="2" t="str">
        <f>IFERROR(__xludf.DUMMYFUNCTION("GOOGLETRANSLATE(A247, ""yo"", ""en"")"),"Tinubu said that the political turmoil that has been going on in the state for the past few months has been criticizing him.")</f>
        <v>Tinubu said that the political turmoil that has been going on in the state for the past few months has been criticizing him.</v>
      </c>
    </row>
    <row r="248" ht="15.75" customHeight="1">
      <c r="A248" s="2" t="s">
        <v>299</v>
      </c>
      <c r="B248" s="2" t="str">
        <f>IFERROR(__xludf.DUMMYFUNCTION("GOOGLETRANSLATE(A248, ""yo"", ""en"")"),"He had all his efforts to see that the motivation came to an end and he failed.")</f>
        <v>He had all his efforts to see that the motivation came to an end and he failed.</v>
      </c>
    </row>
    <row r="249" ht="15.75" customHeight="1">
      <c r="A249" s="2" t="s">
        <v>300</v>
      </c>
      <c r="B249" s="2" t="str">
        <f>IFERROR(__xludf.DUMMYFUNCTION("GOOGLETRANSLATE(A249, ""yo"", ""en"")"),"Chukwuemeka Odumegwu Ojukwu announced that the Ibo nation of Biafra has separated from Nigeria.")</f>
        <v>Chukwuemeka Odumegwu Ojukwu announced that the Ibo nation of Biafra has separated from Nigeria.</v>
      </c>
    </row>
    <row r="250" ht="15.75" customHeight="1">
      <c r="A250" s="2" t="s">
        <v>301</v>
      </c>
      <c r="B250" s="2" t="str">
        <f>IFERROR(__xludf.DUMMYFUNCTION("GOOGLETRANSLATE(A250, ""yo"", ""en"")"),"This declaration of Ojukwu led to the civil war in 1967, three years later they fought the war.")</f>
        <v>This declaration of Ojukwu led to the civil war in 1967, three years later they fought the war.</v>
      </c>
    </row>
    <row r="251" ht="15.75" customHeight="1">
      <c r="A251" s="2" t="s">
        <v>302</v>
      </c>
      <c r="B251" s="2" t="str">
        <f>IFERROR(__xludf.DUMMYFUNCTION("GOOGLETRANSLATE(A251, ""yo"", ""en"")"),"The record confirms that as many as five hundred people die of hunger and work in the Igbo tribe, in which the majority of children have gone.")</f>
        <v>The record confirms that as many as five hundred people die of hunger and work in the Igbo tribe, in which the majority of children have gone.</v>
      </c>
    </row>
    <row r="252" ht="15.75" customHeight="1">
      <c r="A252" s="2" t="s">
        <v>303</v>
      </c>
      <c r="B252" s="2" t="str">
        <f>IFERROR(__xludf.DUMMYFUNCTION("GOOGLETRANSLATE(A252, ""yo"", ""en"")"),"Since the 38th of the year, the fifth month has become important in the history of Nigeria especially for the Ibo tribe.")</f>
        <v>Since the 38th of the year, the fifth month has become important in the history of Nigeria especially for the Ibo tribe.</v>
      </c>
    </row>
    <row r="253" ht="15.75" customHeight="1">
      <c r="A253" s="2" t="s">
        <v>304</v>
      </c>
      <c r="B253" s="2" t="str">
        <f>IFERROR(__xludf.DUMMYFUNCTION("GOOGLETRANSLATE(A253, ""yo"", ""en"")"),"The Igbo tribes did not count this day before, but those who are calling for Ibo separatism in Nigeria have made them count it now.")</f>
        <v>The Igbo tribes did not count this day before, but those who are calling for Ibo separatism in Nigeria have made them count it now.</v>
      </c>
    </row>
    <row r="254" ht="15.75" customHeight="1">
      <c r="A254" s="2" t="s">
        <v>305</v>
      </c>
      <c r="B254" s="2" t="str">
        <f>IFERROR(__xludf.DUMMYFUNCTION("GOOGLETRANSLATE(A254, ""yo"", ""en"")"),"Mr. Benjamin Obiajulu Aduba who died during the Biafra war every 38th month of June every year he remembers his family, his schoolmates, friends and all those who lost their lives in the Biafra war.")</f>
        <v>Mr. Benjamin Obiajulu Aduba who died during the Biafra war every 38th month of June every year he remembers his family, his schoolmates, friends and all those who lost their lives in the Biafra war.</v>
      </c>
    </row>
    <row r="255" ht="15.75" customHeight="1">
      <c r="A255" s="2" t="s">
        <v>306</v>
      </c>
      <c r="B255" s="2" t="str">
        <f>IFERROR(__xludf.DUMMYFUNCTION("GOOGLETRANSLATE(A255, ""yo"", ""en"")"),"Mr. Aduba said he has not forgotten how his father's and mother's brothers mourned the death of the Langba youth whenever it was announced during the war.")</f>
        <v>Mr. Aduba said he has not forgotten how his father's and mother's brothers mourned the death of the Langba youth whenever it was announced during the war.</v>
      </c>
    </row>
    <row r="256" ht="15.75" customHeight="1">
      <c r="A256" s="2" t="s">
        <v>307</v>
      </c>
      <c r="B256" s="2" t="str">
        <f>IFERROR(__xludf.DUMMYFUNCTION("GOOGLETRANSLATE(A256, ""yo"", ""en"")"),"''I remember Chidu Aduba, Adaeze Aduba, Onyejelu Aduba, Onyeobialu Anyaragbu, Clifford Orji, Henry Onyebeke, and Augustine Madu who all went to the Biafra war.")</f>
        <v>''I remember Chidu Aduba, Adaeze Aduba, Onyejelu Aduba, Onyeobialu Anyaragbu, Clifford Orji, Henry Onyebeke, and Augustine Madu who all went to the Biafra war.</v>
      </c>
    </row>
    <row r="257" ht="15.75" customHeight="1">
      <c r="A257" s="2" t="s">
        <v>308</v>
      </c>
      <c r="B257" s="2" t="str">
        <f>IFERROR(__xludf.DUMMYFUNCTION("GOOGLETRANSLATE(A257, ""yo"", ""en"")"),"I will never forget David Nwaigbo who was my friend in school, I also remember many people who went through war,'' Aduba said.")</f>
        <v>I will never forget David Nwaigbo who was my friend in school, I also remember many people who went through war,'' Aduba said.</v>
      </c>
    </row>
    <row r="258" ht="15.75" customHeight="1">
      <c r="A258" s="2" t="s">
        <v>309</v>
      </c>
      <c r="B258" s="2" t="str">
        <f>IFERROR(__xludf.DUMMYFUNCTION("GOOGLETRANSLATE(A258, ""yo"", ""en"")"),"Not only Aduba's family and friends went to the Biafra war, no less than three million people died in the Biafra war.")</f>
        <v>Not only Aduba's family and friends went to the Biafra war, no less than three million people died in the Biafra war.</v>
      </c>
    </row>
    <row r="259" ht="15.75" customHeight="1">
      <c r="A259" s="2" t="s">
        <v>310</v>
      </c>
      <c r="B259" s="2" t="str">
        <f>IFERROR(__xludf.DUMMYFUNCTION("GOOGLETRANSLATE(A259, ""yo"", ""en"")"),"The deadly poison killed many people, Henry Onyebeke, a 14-year-old student died at Nkwo Inyi market where he was buying food for his family.")</f>
        <v>The deadly poison killed many people, Henry Onyebeke, a 14-year-old student died at Nkwo Inyi market where he was buying food for his family.</v>
      </c>
    </row>
    <row r="260" ht="15.75" customHeight="1">
      <c r="A260" s="2" t="s">
        <v>311</v>
      </c>
      <c r="B260" s="2" t="str">
        <f>IFERROR(__xludf.DUMMYFUNCTION("GOOGLETRANSLATE(A260, ""yo"", ""en"")"),"Some people died of hunger, others got sick and went there when they didn't get treatment; Many other things killed many people during the Biafra war.")</f>
        <v>Some people died of hunger, others got sick and went there when they didn't get treatment; Many other things killed many people during the Biafra war.</v>
      </c>
    </row>
    <row r="261" ht="15.75" customHeight="1">
      <c r="A261" s="2" t="s">
        <v>312</v>
      </c>
      <c r="B261" s="2" t="str">
        <f>IFERROR(__xludf.DUMMYFUNCTION("GOOGLETRANSLATE(A261, ""yo"", ""en"")"),"Mr. Aduba, this is why people should set aside a day to remember those who died in the Biafra civil war.")</f>
        <v>Mr. Aduba, this is why people should set aside a day to remember those who died in the Biafra civil war.</v>
      </c>
    </row>
    <row r="262" ht="15.75" customHeight="1">
      <c r="A262" s="2" t="s">
        <v>313</v>
      </c>
      <c r="B262" s="2" t="str">
        <f>IFERROR(__xludf.DUMMYFUNCTION("GOOGLETRANSLATE(A262, ""yo"", ""en"")"),"He said that not only the Ibo tribes died in the Biafra war, Nigerians also went to the civil war.")</f>
        <v>He said that not only the Ibo tribes died in the Biafra war, Nigerians also went to the civil war.</v>
      </c>
    </row>
    <row r="263" ht="15.75" customHeight="1">
      <c r="A263" s="2" t="s">
        <v>314</v>
      </c>
      <c r="B263" s="2" t="str">
        <f>IFERROR(__xludf.DUMMYFUNCTION("GOOGLETRANSLATE(A263, ""yo"", ""en"")"),"Aduba is used by all of them to remember them.")</f>
        <v>Aduba is used by all of them to remember them.</v>
      </c>
    </row>
    <row r="264" ht="15.75" customHeight="1">
      <c r="A264" s="2" t="s">
        <v>315</v>
      </c>
      <c r="B264" s="2" t="str">
        <f>IFERROR(__xludf.DUMMYFUNCTION("GOOGLETRANSLATE(A264, ""yo"", ""en"")"),"Mr. Aduba said that everyone should not remember the Biafra civil war because the war is a part of the history of Nigeria, ""even though politicians look at this day as only the Ibo tribes are there for it.""")</f>
        <v>Mr. Aduba said that everyone should not remember the Biafra civil war because the war is a part of the history of Nigeria, "even though politicians look at this day as only the Ibo tribes are there for it."</v>
      </c>
    </row>
    <row r="265" ht="15.75" customHeight="1">
      <c r="A265" s="2" t="s">
        <v>316</v>
      </c>
      <c r="B265" s="2" t="str">
        <f>IFERROR(__xludf.DUMMYFUNCTION("GOOGLETRANSLATE(A265, ""yo"", ""en"")"),"Ojukwu is from Nnewi town in Anambra state but he was born in Zungeru town in Niger state in 1933.")</f>
        <v>Ojukwu is from Nnewi town in Anambra state but he was born in Zungeru town in Niger state in 1933.</v>
      </c>
    </row>
    <row r="266" ht="15.75" customHeight="1">
      <c r="A266" s="2" t="s">
        <v>317</v>
      </c>
      <c r="B266" s="2" t="str">
        <f>IFERROR(__xludf.DUMMYFUNCTION("GOOGLETRANSLATE(A266, ""yo"", ""en"")"),"Ojukwu was the son of a wealthy landlord, his parents sent him to school so that he also studied at the university in London.")</f>
        <v>Ojukwu was the son of a wealthy landlord, his parents sent him to school so that he also studied at the university in London.</v>
      </c>
    </row>
    <row r="267" ht="15.75" customHeight="1">
      <c r="A267" s="2" t="s">
        <v>318</v>
      </c>
      <c r="B267" s="2" t="str">
        <f>IFERROR(__xludf.DUMMYFUNCTION("GOOGLETRANSLATE(A267, ""yo"", ""en"")"),"After that, he announced to the country of Biafra that the Ibo tribe is ready to separate from Nigeria, which led to the end of the war.")</f>
        <v>After that, he announced to the country of Biafra that the Ibo tribe is ready to separate from Nigeria, which led to the end of the war.</v>
      </c>
    </row>
    <row r="268" ht="15.75" customHeight="1">
      <c r="A268" s="2" t="s">
        <v>319</v>
      </c>
      <c r="B268" s="2" t="str">
        <f>IFERROR(__xludf.DUMMYFUNCTION("GOOGLETRANSLATE(A268, ""yo"", ""en"")"),"Ojukwu moved to Ivory Coast in 1970 after the civil war ended before the Nigerian government forgave him in 1982.")</f>
        <v>Ojukwu moved to Ivory Coast in 1970 after the civil war ended before the Nigerian government forgave him in 1982.</v>
      </c>
    </row>
    <row r="269" ht="15.75" customHeight="1">
      <c r="A269" s="2" t="s">
        <v>320</v>
      </c>
      <c r="B269" s="2" t="str">
        <f>IFERROR(__xludf.DUMMYFUNCTION("GOOGLETRANSLATE(A269, ""yo"", ""en"")"),"The Nigerian government released Ojukwu in 1983 after a coup d'état, but they released him again in 1984.")</f>
        <v>The Nigerian government released Ojukwu in 1983 after a coup d'état, but they released him again in 1984.</v>
      </c>
    </row>
    <row r="270" ht="15.75" customHeight="1">
      <c r="A270" s="2" t="s">
        <v>321</v>
      </c>
      <c r="B270" s="2" t="str">
        <f>IFERROR(__xludf.DUMMYFUNCTION("GOOGLETRANSLATE(A270, ""yo"", ""en"")"),"Ojukwu never interfered in politics since then until his death in 2011.")</f>
        <v>Ojukwu never interfered in politics since then until his death in 2011.</v>
      </c>
    </row>
    <row r="271" ht="15.75" customHeight="1">
      <c r="A271" s="2" t="s">
        <v>322</v>
      </c>
      <c r="B271" s="2" t="str">
        <f>IFERROR(__xludf.DUMMYFUNCTION("GOOGLETRANSLATE(A271, ""yo"", ""en"")"),"BBC News Yoruba news on your WhatsApp Join us there End of podcast promotion Well, the Anambra police station has deployed law enforcement agencies across the state to protect the public after the IPOB party announced that it will hold Biafra Day on the 3"&amp;"0th of May today.")</f>
        <v>BBC News Yoruba news on your WhatsApp Join us there End of podcast promotion Well, the Anambra police station has deployed law enforcement agencies across the state to protect the public after the IPOB party announced that it will hold Biafra Day on the 30th of May today.</v>
      </c>
    </row>
    <row r="272" ht="15.75" customHeight="1">
      <c r="A272" s="2" t="s">
        <v>323</v>
      </c>
      <c r="B272" s="2" t="str">
        <f>IFERROR(__xludf.DUMMYFUNCTION("GOOGLETRANSLATE(A272, ""yo"", ""en"")"),"Earlier, the IPOB party announced a national day of mourning for all people across Ibo land today to remember those who fought in the Biafra civil war.")</f>
        <v>Earlier, the IPOB party announced a national day of mourning for all people across Ibo land today to remember those who fought in the Biafra civil war.</v>
      </c>
    </row>
    <row r="273" ht="15.75" customHeight="1">
      <c r="A273" s="2" t="s">
        <v>324</v>
      </c>
      <c r="B273" s="2" t="str">
        <f>IFERROR(__xludf.DUMMYFUNCTION("GOOGLETRANSLATE(A273, ""yo"", ""en"")"),"The Anambra State Police Commissioner, SP Tochukwu Ikenga, said that the police, DSS officers, public security officers, soldiers, security guards and marines have been deployed to work together against those who want to create trouble.")</f>
        <v>The Anambra State Police Commissioner, SP Tochukwu Ikenga, said that the police, DSS officers, public security officers, soldiers, security guards and marines have been deployed to work together against those who want to create trouble.</v>
      </c>
    </row>
    <row r="274" ht="15.75" customHeight="1">
      <c r="A274" s="2" t="s">
        <v>325</v>
      </c>
      <c r="B274" s="2" t="str">
        <f>IFERROR(__xludf.DUMMYFUNCTION("GOOGLETRANSLATE(A274, ""yo"", ""en"")"),"""After the first meeting on women's issues held in Anambra state due to the konile-o-gbele declaration on the 30th of May this year, the police commissioner, IKioye Orutugu, has said that the women's security guards are ready to deal with anyone who dist"&amp;"urbs the city.")</f>
        <v>"After the first meeting on women's issues held in Anambra state due to the konile-o-gbele declaration on the 30th of May this year, the police commissioner, IKioye Orutugu, has said that the women's security guards are ready to deal with anyone who disturbs the city.</v>
      </c>
    </row>
    <row r="275" ht="15.75" customHeight="1">
      <c r="A275" s="2" t="s">
        <v>326</v>
      </c>
      <c r="B275" s="2" t="str">
        <f>IFERROR(__xludf.DUMMYFUNCTION("GOOGLETRANSLATE(A275, ""yo"", ""en"")"),"Cooperation between the women's wards will make the government's intention to make peace reign fruitful.")</f>
        <v>Cooperation between the women's wards will make the government's intention to make peace reign fruitful.</v>
      </c>
    </row>
    <row r="276" ht="15.75" customHeight="1">
      <c r="A276" s="2" t="s">
        <v>327</v>
      </c>
      <c r="B276" s="2" t="str">
        <f>IFERROR(__xludf.DUMMYFUNCTION("GOOGLETRANSLATE (A276, ""yo"", ""en"")"),"Police officers, DSS officers, civilian police officers, soldiers, and the Anambra Police Command urge members of the public to call the police on this number - 07039194332 or 08039334002 if they witness anything suspicious.")</f>
        <v>Police officers, DSS officers, civilian police officers, soldiers, and the Anambra Police Command urge members of the public to call the police on this number - 07039194332 or 08039334002 if they witness anything suspicious.</v>
      </c>
    </row>
    <row r="277" ht="15.75" customHeight="1">
      <c r="A277" s="2" t="s">
        <v>328</v>
      </c>
      <c r="B277" s="2" t="str">
        <f>IFERROR(__xludf.DUMMYFUNCTION("GOOGLETRANSLATE(A277, ""yo"", ""en"")"),"Many steps and projects in Oyo state Governor, Seyi Makinde, have done this to make many people talk about him.")</f>
        <v>Many steps and projects in Oyo state Governor, Seyi Makinde, have done this to make many people talk about him.</v>
      </c>
    </row>
    <row r="278" ht="15.75" customHeight="1">
      <c r="A278" s="2" t="s">
        <v>329</v>
      </c>
      <c r="B278" s="2" t="str">
        <f>IFERROR(__xludf.DUMMYFUNCTION("GOOGLETRANSLATE(A278, ""yo"", ""en"")"),"There are things that Makinde has done since he became the governor of the state that the people are happy about.")</f>
        <v>There are things that Makinde has done since he became the governor of the state that the people are happy about.</v>
      </c>
    </row>
    <row r="279" ht="15.75" customHeight="1">
      <c r="A279" s="2" t="s">
        <v>330</v>
      </c>
      <c r="B279" s="2" t="str">
        <f>IFERROR(__xludf.DUMMYFUNCTION("GOOGLETRANSLATE(A279, ""yo"", ""en"")"),"Likewise, there are other steps that Makinde took as governor which made many people hate him.")</f>
        <v>Likewise, there are other steps that Makinde took as governor which made many people hate him.</v>
      </c>
    </row>
    <row r="280" ht="15.75" customHeight="1">
      <c r="A280" s="2" t="s">
        <v>331</v>
      </c>
      <c r="B280" s="2" t="str">
        <f>IFERROR(__xludf.DUMMYFUNCTION("GOOGLETRANSLATE(A280, ""yo"", ""en"")"),"This led BBC Yoruba to compile a list of five things that people have been criticizing governor Seyi Makinde for in the six years since he took office as the governor of Oyo state.")</f>
        <v>This led BBC Yoruba to compile a list of five things that people have been criticizing governor Seyi Makinde for in the six years since he took office as the governor of Oyo state.</v>
      </c>
    </row>
    <row r="281" ht="15.75" customHeight="1">
      <c r="A281" s="2" t="s">
        <v>332</v>
      </c>
      <c r="B281" s="2" t="str">
        <f>IFERROR(__xludf.DUMMYFUNCTION("GOOGLETRANSLATE(A281, ""yo"", ""en"")"),"The election of kings In 2023, Makinde handed over the scepter to King Afolabi Ghandi Olaoye as the Soun of Ogbomoso town after the controversy that took place in the court on the issue of who is entitled to the title.")</f>
        <v>The election of kings In 2023, Makinde handed over the scepter to King Afolabi Ghandi Olaoye as the Soun of Ogbomoso town after the controversy that took place in the court on the issue of who is entitled to the title.</v>
      </c>
    </row>
    <row r="282" ht="15.75" customHeight="1">
      <c r="A282" s="2" t="s">
        <v>333</v>
      </c>
      <c r="B282" s="2" t="str">
        <f>IFERROR(__xludf.DUMMYFUNCTION("GOOGLETRANSLATE(A282, ""yo"", ""en"")"),"If you have forgotten, King Muhammed Kabiru Olaoye took King Ghandi to court and told the court that he did not face the challenge to gain the knowledge.")</f>
        <v>If you have forgotten, King Muhammed Kabiru Olaoye took King Ghandi to court and told the court that he did not face the challenge to gain the knowledge.</v>
      </c>
    </row>
    <row r="283" ht="15.75" customHeight="1">
      <c r="A283" s="2" t="s">
        <v>334</v>
      </c>
      <c r="B283" s="2" t="str">
        <f>IFERROR(__xludf.DUMMYFUNCTION("GOOGLETRANSLATE(A283, ""yo"", ""en"")"),"However, the governor of Oyo state did not close the case on the matter of intelligence, he continued to issue several orders to Soun.")</f>
        <v>However, the governor of Oyo state did not close the case on the matter of intelligence, he continued to issue several orders to Soun.</v>
      </c>
    </row>
    <row r="284" ht="15.75" customHeight="1">
      <c r="A284" s="2" t="s">
        <v>335</v>
      </c>
      <c r="B284" s="2" t="str">
        <f>IFERROR(__xludf.DUMMYFUNCTION("GOOGLETRANSLATE(A284, ""yo"", ""en"")"),"Likewise, the Oyo state governor reinstated King Samuel Adebayo Adegbola, Eleruwa of Eruwa who was deposed in 2019 to his throne in 2025.")</f>
        <v>Likewise, the Oyo state governor reinstated King Samuel Adebayo Adegbola, Eleruwa of Eruwa who was deposed in 2019 to his throne in 2025.</v>
      </c>
    </row>
    <row r="285" ht="15.75" customHeight="1">
      <c r="A285" s="2" t="s">
        <v>336</v>
      </c>
      <c r="B285" s="2" t="str">
        <f>IFERROR(__xludf.DUMMYFUNCTION("GOOGLETRANSLATE(A285, ""yo"", ""en"")"),"Not to be outdone, Makinde also announced King Akeem Owoade as the new Alaafin Oyo after the controversy that has been going on over who will be the king after Alaafin Lamidi Adeyemi has been in power for about a few years.")</f>
        <v>Not to be outdone, Makinde also announced King Akeem Owoade as the new Alaafin Oyo after the controversy that has been going on over who will be the king after Alaafin Lamidi Adeyemi has been in power for about a few years.</v>
      </c>
    </row>
    <row r="286" ht="15.75" customHeight="1">
      <c r="A286" s="2" t="s">
        <v>337</v>
      </c>
      <c r="B286" s="2" t="str">
        <f>IFERROR(__xludf.DUMMYFUNCTION("GOOGLETRANSLATE(A286, ""yo"", ""en"")"),"The governor of Oyo state has criticized the judgment of the highest court of Nigeria in 2024, which allows independent local governments to receive their money directly from the federal government, instead of the money first coming to their state governm"&amp;"ent.")</f>
        <v>The governor of Oyo state has criticized the judgment of the highest court of Nigeria in 2024, which allows independent local governments to receive their money directly from the federal government, instead of the money first coming to their state government.</v>
      </c>
    </row>
    <row r="287" ht="15.75" customHeight="1">
      <c r="A287" s="2" t="s">
        <v>338</v>
      </c>
      <c r="B287" s="2" t="str">
        <f>IFERROR(__xludf.DUMMYFUNCTION("GOOGLETRANSLATE(A287, ""yo"", ""en"")"),"Makinde said that the state government does not need permission from the federal government of Nigeria before they take any step to destroy their state.")</f>
        <v>Makinde said that the state government does not need permission from the federal government of Nigeria before they take any step to destroy their state.</v>
      </c>
    </row>
    <row r="288" ht="15.75" customHeight="1">
      <c r="A288" s="2" t="s">
        <v>339</v>
      </c>
      <c r="B288" s="2" t="str">
        <f>IFERROR(__xludf.DUMMYFUNCTION("GOOGLETRANSLATE(A288, ""yo"", ""en"")"),"The governor of Oyo state said that with the things he heard about the judgment, this is the way it is, because unlike the existing local government, they still have a developed local government that the court did not mention, and they will find a way out"&amp;".")</f>
        <v>The governor of Oyo state said that with the things he heard about the judgment, this is the way it is, because unlike the existing local government, they still have a developed local government that the court did not mention, and they will find a way out.</v>
      </c>
    </row>
    <row r="289" ht="15.75" customHeight="1">
      <c r="A289" s="2" t="s">
        <v>340</v>
      </c>
      <c r="B289" s="2" t="str">
        <f>IFERROR(__xludf.DUMMYFUNCTION("GOOGLETRANSLATE(A289, ""yo"", ""en"")"),"He said he will not allow the mother to eat the citizens because of the ruling of the Supreme Court that the local governments should manage their money.")</f>
        <v>He said he will not allow the mother to eat the citizens because of the ruling of the Supreme Court that the local governments should manage their money.</v>
      </c>
    </row>
    <row r="290" ht="15.75" customHeight="1">
      <c r="A290" s="2" t="s">
        <v>341</v>
      </c>
      <c r="B290" s="2" t="str">
        <f>IFERROR(__xludf.DUMMYFUNCTION("GOOGLETRANSLATE(A290, ""yo"", ""en"")"),"The governor said this at a meeting held with stakeholders in the Oyo state local government system on Monday, where he appointed a committee that will examine the contents of the judgment.")</f>
        <v>The governor said this at a meeting held with stakeholders in the Oyo state local government system on Monday, where he appointed a committee that will examine the contents of the judgment.</v>
      </c>
    </row>
    <row r="291" ht="15.75" customHeight="1">
      <c r="A291" s="2" t="s">
        <v>342</v>
      </c>
      <c r="B291" s="2" t="str">
        <f>IFERROR(__xludf.DUMMYFUNCTION("GOOGLETRANSLATE(A291, ""yo"", ""en"")"),"Many people in Oyo state, especially in Ibadan, are upset because the government of Seyi Makinde started to look at the people in Podo area in Oluyole and Lagelu local government in Ibadan on February 2025.")</f>
        <v>Many people in Oyo state, especially in Ibadan, are upset because the government of Seyi Makinde started to look at the people in Podo area in Oluyole and Lagelu local government in Ibadan on February 2025.</v>
      </c>
    </row>
    <row r="292" ht="15.75" customHeight="1">
      <c r="A292" s="2" t="s">
        <v>343</v>
      </c>
      <c r="B292" s="2" t="str">
        <f>IFERROR(__xludf.DUMMYFUNCTION("GOOGLETRANSLATE(A292, ""yo"", ""en"")"),"The Commissioner for Land, Housing and Urban Development, Ms Willaims AkinFunmilayo explained that those who build houses on government land are being watched by the government.")</f>
        <v>The Commissioner for Land, Housing and Urban Development, Ms Willaims AkinFunmilayo explained that those who build houses on government land are being watched by the government.</v>
      </c>
    </row>
    <row r="293" ht="15.75" customHeight="1">
      <c r="A293" s="2" t="s">
        <v>344</v>
      </c>
      <c r="B293" s="2" t="str">
        <f>IFERROR(__xludf.DUMMYFUNCTION("GOOGLETRANSLATE(A293, ""yo"", ""en"")"),"Ms. Akinfunmilayi, the government property is the land that many people have built houses on, which is against the law.")</f>
        <v>Ms. Akinfunmilayi, the government property is the land that many people have built houses on, which is against the law.</v>
      </c>
    </row>
    <row r="294" ht="15.75" customHeight="1">
      <c r="A294" s="2" t="s">
        <v>345</v>
      </c>
      <c r="B294" s="2" t="str">
        <f>IFERROR(__xludf.DUMMYFUNCTION("GOOGLETRANSLATE(A294, ""yo"", ""en"")"),"He added that anyone who is building a house on land that is not his own wants to steal the land.")</f>
        <v>He added that anyone who is building a house on land that is not his own wants to steal the land.</v>
      </c>
    </row>
    <row r="295" ht="15.75" customHeight="1">
      <c r="A295" s="2" t="s">
        <v>346</v>
      </c>
      <c r="B295" s="2" t="str">
        <f>IFERROR(__xludf.DUMMYFUNCTION("GOOGLETRANSLATE(A295, ""yo"", ""en"")"),"The commissioner in section 3(1) of the law that protects property in the state of Oyo in 2017 proposed fifteen years imprisonment for anyone found guilty of land grabbing.")</f>
        <v>The commissioner in section 3(1) of the law that protects property in the state of Oyo in 2017 proposed fifteen years imprisonment for anyone found guilty of land grabbing.</v>
      </c>
    </row>
    <row r="296" ht="15.75" customHeight="1">
      <c r="A296" s="2" t="s">
        <v>347</v>
      </c>
      <c r="B296" s="2" t="str">
        <f>IFERROR(__xludf.DUMMYFUNCTION("GOOGLETRANSLATE(A296, ""yo"", ""en"")"),"Makinde announced that the government will spend N28.3bn on the public electricity project in Oyo state.")</f>
        <v>Makinde announced that the government will spend N28.3bn on the public electricity project in Oyo state.</v>
      </c>
    </row>
    <row r="297" ht="15.75" customHeight="1">
      <c r="A297" s="2" t="s">
        <v>348</v>
      </c>
      <c r="B297" s="2" t="str">
        <f>IFERROR(__xludf.DUMMYFUNCTION("GOOGLETRANSLATE(A297, ""yo"", ""en"")"),"The state governor said that street lighting is very important to him, and the construction of this street lighting is the second part of his work since he became governor.")</f>
        <v>The state governor said that street lighting is very important to him, and the construction of this street lighting is the second part of his work since he became governor.</v>
      </c>
    </row>
    <row r="298" ht="15.75" customHeight="1">
      <c r="A298" s="2" t="s">
        <v>349</v>
      </c>
      <c r="B298" s="2" t="str">
        <f>IFERROR(__xludf.DUMMYFUNCTION("GOOGLETRANSLATE(A298:A2067, ""yo"", ""en"")"),"Makinde said that street lighting is important for the public, he also said that street lighting will also make the economy of Oyo state worse.")</f>
        <v>Makinde said that street lighting is important for the public, he also said that street lighting will also make the economy of Oyo state worse.</v>
      </c>
    </row>
    <row r="299" ht="15.75" customHeight="1">
      <c r="A299" s="2" t="s">
        <v>350</v>
      </c>
      <c r="B299" s="2" t="str">
        <f>IFERROR(__xludf.DUMMYFUNCTION("GOOGLETRANSLATE(A299, ""yo"", ""en"")"),"If the fire does not blink for twenty-four hours, the women workers will be able to work well, and the farmers will be able to sell their products.")</f>
        <v>If the fire does not blink for twenty-four hours, the women workers will be able to work well, and the farmers will be able to sell their products.</v>
      </c>
    </row>
    <row r="300" ht="15.75" customHeight="1">
      <c r="A300" s="2" t="s">
        <v>351</v>
      </c>
      <c r="B300" s="2" t="str">
        <f>IFERROR(__xludf.DUMMYFUNCTION("GOOGLETRANSLATE(A300, ""yo"", ""en"")"),"But many people have said that they did not see the fire last night in the area of ​​Oyo state.")</f>
        <v>But many people have said that they did not see the fire last night in the area of ​​Oyo state.</v>
      </c>
    </row>
    <row r="301" ht="15.75" customHeight="1">
      <c r="A301" s="2" t="s">
        <v>352</v>
      </c>
      <c r="B301" s="2" t="str">
        <f>IFERROR(__xludf.DUMMYFUNCTION("GOOGLETRANSLATE(A301, ""yo"", ""en"")"),"Many people in Oyo state have complained about the lack of education in schools in the state.")</f>
        <v>Many people in Oyo state have complained about the lack of education in schools in the state.</v>
      </c>
    </row>
    <row r="302" ht="15.75" customHeight="1">
      <c r="A302" s="2" t="s">
        <v>353</v>
      </c>
      <c r="B302" s="2" t="str">
        <f>IFERROR(__xludf.DUMMYFUNCTION("GOOGLETRANSLATE(A302, ""yo"", ""en"")"),"A research has confirmed that many primary schools in Oyo state do not have septic tanks, good water for drinking and drinking water.")</f>
        <v>A research has confirmed that many primary schools in Oyo state do not have septic tanks, good water for drinking and drinking water.</v>
      </c>
    </row>
    <row r="303" ht="15.75" customHeight="1">
      <c r="A303" s="2" t="s">
        <v>354</v>
      </c>
      <c r="B303" s="2" t="str">
        <f>IFERROR(__xludf.DUMMYFUNCTION("GOOGLETRANSLATE(A303, ""yo"", ""en"")"),"The study said that many of those in government today have been the real benefit of the government in providing the necessary education system, but, they have failed to implement such a system that is useful for the people.")</f>
        <v>The study said that many of those in government today have been the real benefit of the government in providing the necessary education system, but, they have failed to implement such a system that is useful for the people.</v>
      </c>
    </row>
    <row r="304" ht="15.75" customHeight="1">
      <c r="A304" s="2" t="s">
        <v>355</v>
      </c>
      <c r="B304" s="2" t="str">
        <f>IFERROR(__xludf.DUMMYFUNCTION("GOOGLETRANSLATE(A304, ""yo"", ""en"")"),"In many schools in Oyo state, it is heard that students look for water in the neighborhood before they can find water to use.")</f>
        <v>In many schools in Oyo state, it is heard that students look for water in the neighborhood before they can find water to use.</v>
      </c>
    </row>
    <row r="305" ht="15.75" customHeight="1">
      <c r="A305" s="2" t="s">
        <v>356</v>
      </c>
      <c r="B305" s="2" t="str">
        <f>IFERROR(__xludf.DUMMYFUNCTION("GOOGLETRANSLATE(A305, ""yo"", ""en"")"),"Among the department many are saying that Makinde's government has not done well since the six years he has been the governor of Oyo state in the health department.")</f>
        <v>Among the department many are saying that Makinde's government has not done well since the six years he has been the governor of Oyo state in the health department.</v>
      </c>
    </row>
    <row r="306" ht="15.75" customHeight="1">
      <c r="A306" s="2" t="s">
        <v>357</v>
      </c>
      <c r="B306" s="2" t="str">
        <f>IFERROR(__xludf.DUMMYFUNCTION("GOOGLETRANSLATE(A306, ""yo"", ""en"")"),"Research shows that only 2,149 health workers are working in all the medium hospitals in all the thirty three governments in Oyo state.")</f>
        <v>Research shows that only 2,149 health workers are working in all the medium hospitals in all the thirty three governments in Oyo state.</v>
      </c>
    </row>
    <row r="307" ht="15.75" customHeight="1">
      <c r="A307" s="2" t="s">
        <v>358</v>
      </c>
      <c r="B307" s="2" t="str">
        <f>IFERROR(__xludf.DUMMYFUNCTION("GOOGLETRANSLATE(A307, ""yo"", ""en"")"),"There are very few medical professionals in this group of people if we look at the number of people they tend to care for.")</f>
        <v>There are very few medical professionals in this group of people if we look at the number of people they tend to care for.</v>
      </c>
    </row>
    <row r="308" ht="15.75" customHeight="1">
      <c r="A308" s="2" t="s">
        <v>359</v>
      </c>
      <c r="B308" s="2" t="str">
        <f>IFERROR(__xludf.DUMMYFUNCTION("GOOGLETRANSLATE(A308, ""yo"", ""en"")"),"Although OYSHIA is the organization that organizes the health system, many people in Oyo state do not have confidence in government hospitals because of their condition.")</f>
        <v>Although OYSHIA is the organization that organizes the health system, many people in Oyo state do not have confidence in government hospitals because of their condition.</v>
      </c>
    </row>
    <row r="309" ht="15.75" customHeight="1">
      <c r="A309" s="2" t="s">
        <v>360</v>
      </c>
      <c r="B309" s="2" t="str">
        <f>IFERROR(__xludf.DUMMYFUNCTION("GOOGLETRANSLATE(A300, ""yo"", ""en"")"),"But many people have said that they did not see the fire last night in the area of ​​Oyo state.")</f>
        <v>But many people have said that they did not see the fire last night in the area of ​​Oyo state.</v>
      </c>
    </row>
    <row r="310" ht="15.75" customHeight="1">
      <c r="A310" s="2" t="s">
        <v>361</v>
      </c>
      <c r="B310" s="2" t="str">
        <f>IFERROR(__xludf.DUMMYFUNCTION("GOOGLETRANSLATE(A310, ""yo"", ""en"")"),"Repairing the road in Ibadan street Among the things that the people are praising Makinde for is the construction of various roads in our Ibadan street.")</f>
        <v>Repairing the road in Ibadan street Among the things that the people are praising Makinde for is the construction of various roads in our Ibadan street.</v>
      </c>
    </row>
    <row r="311" ht="15.75" customHeight="1">
      <c r="A311" s="2" t="s">
        <v>362</v>
      </c>
      <c r="B311" s="2" t="str">
        <f>IFERROR(__xludf.DUMMYFUNCTION("GOOGLETRANSLATE(A311, ""yo"", ""en"")"),"Makinde said the government's long-standing arts project is a way to provide basic amenities to the people of the city.")</f>
        <v>Makinde said the government's long-standing arts project is a way to provide basic amenities to the people of the city.</v>
      </c>
    </row>
    <row r="312" ht="15.75" customHeight="1">
      <c r="A312" s="2" t="s">
        <v>363</v>
      </c>
      <c r="B312" s="2" t="str">
        <f>IFERROR(__xludf.DUMMYFUNCTION("GOOGLETRANSLATE(A312, ""yo"", ""en"")"),"The governor said this while inaugurating the 38.48 kilometer road within the city of Ibadan which he repaired.")</f>
        <v>The governor said this while inaugurating the 38.48 kilometer road within the city of Ibadan which he repaired.</v>
      </c>
    </row>
    <row r="313" ht="15.75" customHeight="1">
      <c r="A313" s="2" t="s">
        <v>364</v>
      </c>
      <c r="B313" s="2" t="str">
        <f>IFERROR(__xludf.DUMMYFUNCTION("GOOGLETRANSLATE(A313, ""yo"", ""en"")"),"Among the roads is the D'Rovans hotel car park, Ring Road.")</f>
        <v>Among the roads is the D'Rovans hotel car park, Ring Road.</v>
      </c>
    </row>
    <row r="314" ht="15.75" customHeight="1">
      <c r="A314" s="2" t="s">
        <v>365</v>
      </c>
      <c r="B314" s="2" t="str">
        <f>IFERROR(__xludf.DUMMYFUNCTION("GOOGLETRANSLATE(A314, ""yo"", ""en"")"),"In the same way, Makinde also fixed the roads in the south-west region of Ibadan, north-west of Ibadan and south-east of Ibadan.")</f>
        <v>In the same way, Makinde also fixed the roads in the south-west region of Ibadan, north-west of Ibadan and south-east of Ibadan.</v>
      </c>
    </row>
    <row r="315" ht="15.75" customHeight="1">
      <c r="A315" s="2" t="s">
        <v>366</v>
      </c>
      <c r="B315" s="2" t="str">
        <f>IFERROR(__xludf.DUMMYFUNCTION("GOOGLETRANSLATE(A315, ""yo"", ""en"")"),"It didn't stop there, the Makinde government also made way for my towns in Oyo state.")</f>
        <v>It didn't stop there, the Makinde government also made way for my towns in Oyo state.</v>
      </c>
    </row>
    <row r="316" ht="15.75" customHeight="1">
      <c r="A316" s="2" t="s">
        <v>367</v>
      </c>
      <c r="B316" s="2" t="str">
        <f>IFERROR(__xludf.DUMMYFUNCTION("GOOGLETRANSLATE(A316, ""yo"", ""en"")"),"Among such roads is the road to Iseyin town from Ogbomoso.")</f>
        <v>Among such roads is the road to Iseyin town from Ogbomoso.</v>
      </c>
    </row>
    <row r="317" ht="15.75" customHeight="1">
      <c r="A317" s="2" t="s">
        <v>368</v>
      </c>
      <c r="B317" s="2" t="str">
        <f>IFERROR(__xludf.DUMMYFUNCTION("GOOGLETRANSLATE(A317, ""yo"", ""en"")"),"Among the things that many people of the state like about the Makinde government is the payment of salaries and contracts to our workers.")</f>
        <v>Among the things that many people of the state like about the Makinde government is the payment of salaries and contracts to our workers.</v>
      </c>
    </row>
    <row r="318" ht="15.75" customHeight="1">
      <c r="A318" s="2" t="s">
        <v>369</v>
      </c>
      <c r="B318" s="2" t="str">
        <f>IFERROR(__xludf.DUMMYFUNCTION("GOOGLETRANSLATE(A318, ""yo"", ""en"")"),"Similarly, the Makinde government is paying pensioners in Oyo state regularly.")</f>
        <v>Similarly, the Makinde government is paying pensioners in Oyo state regularly.</v>
      </c>
    </row>
    <row r="319" ht="15.75" customHeight="1">
      <c r="A319" s="2" t="s">
        <v>370</v>
      </c>
      <c r="B319" s="2" t="str">
        <f>IFERROR(__xludf.DUMMYFUNCTION("GOOGLETRANSLATE(A319, ""yo"", ""en"")"),"Earlier, the governor had said that the economy of Oyo state is stable because his government is paying N24bn monthly to state and local government employees.")</f>
        <v>Earlier, the governor had said that the economy of Oyo state is stable because his government is paying N24bn monthly to state and local government employees.</v>
      </c>
    </row>
    <row r="320" ht="15.75" customHeight="1">
      <c r="A320" s="2" t="s">
        <v>371</v>
      </c>
      <c r="B320" s="2" t="str">
        <f>IFERROR(__xludf.DUMMYFUNCTION("GOOGLETRANSLATE(A320, ""yo"", ""en"")"),"Makinde this has made many investors to invest across Oyo state.")</f>
        <v>Makinde this has made many investors to invest across Oyo state.</v>
      </c>
    </row>
    <row r="321" ht="15.75" customHeight="1">
      <c r="A321" s="2" t="s">
        <v>372</v>
      </c>
      <c r="B321" s="2" t="str">
        <f>IFERROR(__xludf.DUMMYFUNCTION("GOOGLETRANSLATE(A321, ""yo"", ""en"")"),"The governor urged the citizens to live with each other in peace because in peace is our development.")</f>
        <v>The governor urged the citizens to live with each other in peace because in peace is our development.</v>
      </c>
    </row>
    <row r="322" ht="15.75" customHeight="1">
      <c r="A322" s="2" t="s">
        <v>373</v>
      </c>
      <c r="B322" s="2" t="str">
        <f>IFERROR(__xludf.DUMMYFUNCTION("GOOGLETRANSLATE(A322, ""yo"", ""en"")"),"It was a surprise for many people after Makinde supported Tinubu in the 2023 presidential election, even though the APC sided with Tinubu.")</f>
        <v>It was a surprise for many people after Makinde supported Tinubu in the 2023 presidential election, even though the APC sided with Tinubu.</v>
      </c>
    </row>
    <row r="323" ht="15.75" customHeight="1">
      <c r="A323" s="2" t="s">
        <v>374</v>
      </c>
      <c r="B323" s="2" t="str">
        <f>IFERROR(__xludf.DUMMYFUNCTION("GOOGLETRANSLATE(A323, ""yo"", ""en"")"),"While explaining why he did so, Makinde who is a PDP member supporting Tinubu in the presidential election is important for the Nigerian political system.")</f>
        <v>While explaining why he did so, Makinde who is a PDP member supporting Tinubu in the presidential election is important for the Nigerian political system.</v>
      </c>
    </row>
    <row r="324" ht="15.75" customHeight="1">
      <c r="A324" s="2" t="s">
        <v>375</v>
      </c>
      <c r="B324" s="2" t="str">
        <f>IFERROR(__xludf.DUMMYFUNCTION("GOOGLETRANSLATE(A324, ""yo"", ""en"")"),"The Oyo state governor said that justice, and indelibility after someone stands for it.")</f>
        <v>The Oyo state governor said that justice, and indelibility after someone stands for it.</v>
      </c>
    </row>
    <row r="325" ht="15.75" customHeight="1">
      <c r="A325" s="2" t="s">
        <v>376</v>
      </c>
      <c r="B325" s="2" t="str">
        <f>IFERROR(__xludf.DUMMYFUNCTION("GOOGLETRANSLATE(A325, ""yo"", ""en"")"),"He is strong for the unity of Nigeria, and he wants a country that will benefit all people regardless of ethnicity.")</f>
        <v>He is strong for the unity of Nigeria, and he wants a country that will benefit all people regardless of ethnicity.</v>
      </c>
    </row>
    <row r="326" ht="15.75" customHeight="1">
      <c r="A326" s="2" t="s">
        <v>377</v>
      </c>
      <c r="B326" s="2" t="str">
        <f>IFERROR(__xludf.DUMMYFUNCTION("GOOGLETRANSLATE(A326, ""yo"", ""en"")"),"This is why the Oyo state governor is supporting Tinubu in the 2023 presidential election.")</f>
        <v>This is why the Oyo state governor is supporting Tinubu in the 2023 presidential election.</v>
      </c>
    </row>
    <row r="327" ht="15.75" customHeight="1">
      <c r="A327" s="2" t="s">
        <v>378</v>
      </c>
      <c r="B327" s="2" t="str">
        <f>IFERROR(__xludf.DUMMYFUNCTION("GOOGLETRANSLATE(A327, ""yo"", ""en"")"),"Making the Samuel Ladoke Akintola international airport one of the projects that Makinde has praised people for.")</f>
        <v>Making the Samuel Ladoke Akintola international airport one of the projects that Makinde has praised people for.</v>
      </c>
    </row>
    <row r="328" ht="15.75" customHeight="1">
      <c r="A328" s="2" t="s">
        <v>379</v>
      </c>
      <c r="B328" s="2" t="str">
        <f>IFERROR(__xludf.DUMMYFUNCTION("GOOGLETRANSLATE(A328, ""yo"", ""en"")"),"In this department, the work that started on the airport from September 2024 is going on.")</f>
        <v>In this department, the work that started on the airport from September 2024 is going on.</v>
      </c>
    </row>
    <row r="329" ht="15.75" customHeight="1">
      <c r="A329" s="2" t="s">
        <v>380</v>
      </c>
      <c r="B329" s="2" t="str">
        <f>IFERROR(__xludf.DUMMYFUNCTION("GOOGLETRANSLATE(A329, ""yo"", ""en"")"),"In June 2026 the Oyo state government said that work on the airport would be completed.")</f>
        <v>In June 2026 the Oyo state government said that work on the airport would be completed.</v>
      </c>
    </row>
    <row r="330" ht="15.75" customHeight="1">
      <c r="A330" s="2" t="s">
        <v>381</v>
      </c>
      <c r="B330" s="2" t="str">
        <f>IFERROR(__xludf.DUMMYFUNCTION("GOOGLETRANSLATE(A330, ""yo"", ""en"")"),"The government will allow people to travel from the airport to wherever they want before the end of 2025.")</f>
        <v>The government will allow people to travel from the airport to wherever they want before the end of 2025.</v>
      </c>
    </row>
    <row r="331" ht="15.75" customHeight="1">
      <c r="A331" s="2" t="s">
        <v>382</v>
      </c>
      <c r="B331" s="2" t="str">
        <f>IFERROR(__xludf.DUMMYFUNCTION("GOOGLETRANSLATE(A331, ""yo"", ""en"")"),"Makinde at this airport will allow many people who travel around the world to come to Oyo state.")</f>
        <v>Makinde at this airport will allow many people who travel around the world to come to Oyo state.</v>
      </c>
    </row>
    <row r="332" ht="15.75" customHeight="1">
      <c r="A332" s="2" t="s">
        <v>383</v>
      </c>
      <c r="B332" s="2" t="str">
        <f>IFERROR(__xludf.DUMMYFUNCTION("GOOGLETRANSLATE(A332, ""yo"", ""en"")"),"The governor of Oyo state has said that there are no less than 80,000 students who have returned to education after his administration, parents no longer pay the N3,000 they used to pay for each child.")</f>
        <v>The governor of Oyo state has said that there are no less than 80,000 students who have returned to education after his administration, parents no longer pay the N3,000 they used to pay for each child.</v>
      </c>
    </row>
    <row r="333" ht="15.75" customHeight="1">
      <c r="A333" s="2" t="s">
        <v>384</v>
      </c>
      <c r="B333" s="2" t="str">
        <f>IFERROR(__xludf.DUMMYFUNCTION("GOOGLETRANSLATE(A333, ""yo"", ""en"")"),"If you forget, after Makinde entered the governorship election in 2019, he announced that some students will not pay the fee anymore.")</f>
        <v>If you forget, after Makinde entered the governorship election in 2019, he announced that some students will not pay the fee anymore.</v>
      </c>
    </row>
    <row r="334" ht="15.75" customHeight="1">
      <c r="A334" s="2" t="s">
        <v>385</v>
      </c>
      <c r="B334" s="2" t="str">
        <f>IFERROR(__xludf.DUMMYFUNCTION("GOOGLETRANSLATE(A334, ""yo"", ""en"")"),"Makinde did this to ensure that all children in Oyo state benefit from going to school.")</f>
        <v>Makinde did this to ensure that all children in Oyo state benefit from going to school.</v>
      </c>
    </row>
    <row r="335" ht="15.75" customHeight="1">
      <c r="A335" s="2" t="s">
        <v>386</v>
      </c>
      <c r="B335" s="2" t="str">
        <f>IFERROR(__xludf.DUMMYFUNCTION("GOOGLETRANSLATE(A335, ""yo"", ""en"")"),"The governor of Oyo state has also done this to make the education system strong in the state.")</f>
        <v>The governor of Oyo state has also done this to make the education system strong in the state.</v>
      </c>
    </row>
    <row r="336" ht="15.75" customHeight="1">
      <c r="A336" s="2" t="s">
        <v>387</v>
      </c>
      <c r="B336" s="2" t="str">
        <f>IFERROR(__xludf.DUMMYFUNCTION("GOOGLETRANSLATE(A336, ""yo"", ""en"")"),"The Oyo State Teachers Union, NUT, has praised Makinde for recruiting 19,500 teachers within five years.")</f>
        <v>The Oyo State Teachers Union, NUT, has praised Makinde for recruiting 19,500 teachers within five years.</v>
      </c>
    </row>
    <row r="337" ht="15.75" customHeight="1">
      <c r="A337" s="2" t="s">
        <v>388</v>
      </c>
      <c r="B337" s="2" t="str">
        <f>IFERROR(__xludf.DUMMYFUNCTION("GOOGLETRANSLATE(A337, ""yo"", ""en"")"),"The NUT party had five thousand teachers in Makinde recruited in his first term as governor.")</f>
        <v>The NUT party had five thousand teachers in Makinde recruited in his first term as governor.</v>
      </c>
    </row>
    <row r="338" ht="15.75" customHeight="1">
      <c r="A338" s="2" t="s">
        <v>389</v>
      </c>
      <c r="B338" s="2" t="str">
        <f>IFERROR(__xludf.DUMMYFUNCTION("GOOGLETRANSLATE(A338, ""yo"", ""en"")"),"Similarly, the group stated that 14 thousand and a half teachers in Makinde have now been employed in the second year of his government.")</f>
        <v>Similarly, the group stated that 14 thousand and a half teachers in Makinde have now been employed in the second year of his government.</v>
      </c>
    </row>
    <row r="339" ht="15.75" customHeight="1">
      <c r="A339" s="2" t="s">
        <v>390</v>
      </c>
      <c r="B339" s="2" t="str">
        <f>IFERROR(__xludf.DUMMYFUNCTION("GOOGLETRANSLATE(A339, ""yo"", ""en"")"),"The NUT in this government's step will find a solution to the problem of teacher shortage facing the primary and secondary school system in Oyo state.")</f>
        <v>The NUT in this government's step will find a solution to the problem of teacher shortage facing the primary and secondary school system in Oyo state.</v>
      </c>
    </row>
    <row r="340" ht="15.75" customHeight="1">
      <c r="A340" s="2" t="s">
        <v>391</v>
      </c>
      <c r="B340" s="2" t="str">
        <f>IFERROR(__xludf.DUMMYFUNCTION("GOOGLETRANSLATE(A340, ""yo"", ""en"")"),"There are no less than 902 people who are government officials that Makinde has also hired.")</f>
        <v>There are no less than 902 people who are government officials that Makinde has also hired.</v>
      </c>
    </row>
    <row r="341" ht="15.75" customHeight="1">
      <c r="A341" s="2" t="s">
        <v>392</v>
      </c>
      <c r="B341" s="2" t="str">
        <f>IFERROR(__xludf.DUMMYFUNCTION("GOOGLETRANSLATE(A341, ""yo"", ""en"")"),"The Federal High Court in Abuja has received three pieces of evidence, one of which revealed how the head of IPOB, Nnamdi Kanu, was checking the broadcasting equipment of the radio station they accused him of entering Nigeria illegally.")</f>
        <v>The Federal High Court in Abuja has received three pieces of evidence, one of which revealed how the head of IPOB, Nnamdi Kanu, was checking the broadcasting equipment of the radio station they accused him of entering Nigeria illegally.</v>
      </c>
    </row>
    <row r="342" ht="15.75" customHeight="1">
      <c r="A342" s="2" t="s">
        <v>393</v>
      </c>
      <c r="B342" s="2" t="str">
        <f>IFERROR(__xludf.DUMMYFUNCTION("GOOGLETRANSLATE(A342, ""yo"", ""en"")"),"This is an important thing that happened at Kanu's trial on the accusation of corruption against him by the government.")</f>
        <v>This is an important thing that happened at Kanu's trial on the accusation of corruption against him by the government.</v>
      </c>
    </row>
    <row r="343" ht="15.75" customHeight="1">
      <c r="A343" s="2" t="s">
        <v>394</v>
      </c>
      <c r="B343" s="2" t="str">
        <f>IFERROR(__xludf.DUMMYFUNCTION("GOOGLETRANSLATE(A343, ""yo"", ""en"")"),"The broadcasting equipment of the radio station, ``Tram 50L,'' is said to be located in Ubuluisiuzor town in Ihiala local government of Anambra state where Kanu inspected the equipment.")</f>
        <v>The broadcasting equipment of the radio station, ``Tram 50L,'' is said to be located in Ubuluisiuzor town in Ihiala local government of Anambra state where Kanu inspected the equipment.</v>
      </c>
    </row>
    <row r="344" ht="15.75" customHeight="1">
      <c r="A344" s="2" t="s">
        <v>395</v>
      </c>
      <c r="B344" s="2" t="str">
        <f>IFERROR(__xludf.DUMMYFUNCTION("GOOGLETRANSLATE(A344, ""yo"", ""en"")"),"The third witness whose name is Mr. CCC, who is a DSS employee told the court that Kanu's statement that DSS knew him to be guilty of what he did was a lie far from the truth. The witness also told the court that the names of the DSS officers who intervie"&amp;"wed Kanu were Mr. James, Mr. Ibrahim and Mr. Collins.")</f>
        <v>The third witness whose name is Mr. CCC, who is a DSS employee told the court that Kanu's statement that DSS knew him to be guilty of what he did was a lie far from the truth. The witness also told the court that the names of the DSS officers who interviewed Kanu were Mr. James, Mr. Ibrahim and Mr. Collins.</v>
      </c>
    </row>
    <row r="345" ht="15.75" customHeight="1">
      <c r="A345" s="2" t="s">
        <v>396</v>
      </c>
      <c r="B345" s="2" t="str">
        <f>IFERROR(__xludf.DUMMYFUNCTION("GOOGLETRANSLATE(A345, ""yo"", ""en"")"),"What we heard is that Kanu is the DSS organization that forced him to call the President Goodluck Jonothan and Muhammadu Buhari by names that he did not remember, and Senator Rochas Okorocha turned his people into Muslims.")</f>
        <v>What we heard is that Kanu is the DSS organization that forced him to call the President Goodluck Jonothan and Muhammadu Buhari by names that he did not remember, and Senator Rochas Okorocha turned his people into Muslims.</v>
      </c>
    </row>
    <row r="346" ht="15.75" customHeight="1">
      <c r="A346" s="2" t="s">
        <v>397</v>
      </c>
      <c r="B346" s="2" t="str">
        <f>IFERROR(__xludf.DUMMYFUNCTION("GOOGLETRANSLATE(A346, ""yo"", ""en"")"),"The DSS witness added that during the interview Kanu used to call Nigeria a zoo.")</f>
        <v>The DSS witness added that during the interview Kanu used to call Nigeria a zoo.</v>
      </c>
    </row>
    <row r="347" ht="15.75" customHeight="1">
      <c r="A347" s="2" t="s">
        <v>398</v>
      </c>
      <c r="B347" s="2" t="str">
        <f>IFERROR(__xludf.DUMMYFUNCTION("GOOGLETRANSLATE(A347, ""yo"", ""en"")"),"The transcript of these words and Kanu's speech were not brought before the court as evidence.")</f>
        <v>The transcript of these words and Kanu's speech were not brought before the court as evidence.</v>
      </c>
    </row>
    <row r="348" ht="15.75" customHeight="1">
      <c r="A348" s="2" t="s">
        <v>399</v>
      </c>
      <c r="B348" s="2" t="str">
        <f>IFERROR(__xludf.DUMMYFUNCTION("GOOGLETRANSLATE(A348, ""yo"", ""en"")"),"Judge James Omotosho said in his speech that what the law says is that if the defendant accuses the accusers of forcing him to confess to something he did not do, the court must confirm whether the matter is true or not.")</f>
        <v>Judge James Omotosho said in his speech that what the law says is that if the defendant accuses the accusers of forcing him to confess to something he did not do, the court must confirm whether the matter is true or not.</v>
      </c>
    </row>
    <row r="349" ht="15.75" customHeight="1">
      <c r="A349" s="2" t="s">
        <v>400</v>
      </c>
      <c r="B349" s="2" t="str">
        <f>IFERROR(__xludf.DUMMYFUNCTION("GOOGLETRANSLATE(A349, ""yo"", ""en"")"),"On three counts of evidence that the prosecution did not come to the court, Kanu admitted that he was the one who launched Radio Biafra.")</f>
        <v>On three counts of evidence that the prosecution did not come to the court, Kanu admitted that he was the one who launched Radio Biafra.</v>
      </c>
    </row>
    <row r="350" ht="15.75" customHeight="1">
      <c r="A350" s="2" t="s">
        <v>401</v>
      </c>
      <c r="B350" s="2" t="str">
        <f>IFERROR(__xludf.DUMMYFUNCTION("GOOGLETRANSLATE(A350, ""yo"", ""en"")"),"Kanu said in one of the videos that many people who believe in the Igbo tribe in Biafra are donating money to Biafra radio station.")</f>
        <v>Kanu said in one of the videos that many people who believe in the Igbo tribe in Biafra are donating money to Biafra radio station.</v>
      </c>
    </row>
    <row r="351" ht="15.75" customHeight="1">
      <c r="A351" s="2" t="s">
        <v>402</v>
      </c>
      <c r="B351" s="2" t="str">
        <f>IFERROR(__xludf.DUMMYFUNCTION("GOOGLETRANSLATE(A351, ""yo"", ""en"")"),"After that, Judge Omotosho, adjourned the trial to Wednesday, the twenty-ninth of May.")</f>
        <v>After that, Judge Omotosho, adjourned the trial to Wednesday, the twenty-ninth of May.</v>
      </c>
    </row>
    <row r="352" ht="15.75" customHeight="1">
      <c r="A352" s="2" t="s">
        <v>403</v>
      </c>
      <c r="B352" s="2" t="str">
        <f>IFERROR(__xludf.DUMMYFUNCTION("GOOGLETRANSLATE(A352, ""yo"", ""en"")"),"BBC News Yoruba news on your WhatsApp Join us at End of podcast promotion The counsel representing Kanu in court has said that the ongoing trial of the IPOB leader is illegal, as well as against Nigerian law and international law.")</f>
        <v>BBC News Yoruba news on your WhatsApp Join us at End of podcast promotion The counsel representing Kanu in court has said that the ongoing trial of the IPOB leader is illegal, as well as against Nigerian law and international law.</v>
      </c>
    </row>
    <row r="353" ht="15.75" customHeight="1">
      <c r="A353" s="2" t="s">
        <v>404</v>
      </c>
      <c r="B353" s="2" t="str">
        <f>IFERROR(__xludf.DUMMYFUNCTION("GOOGLETRANSLATE(A353, ""yo"", ""en"")"),"In a press release signed by Onyekachi Ifedi on behalf of the IPOB committee, the lawyers said that the proceedings before Judge Omosho were not illegal at all.")</f>
        <v>In a press release signed by Onyekachi Ifedi on behalf of the IPOB committee, the lawyers said that the proceedings before Judge Omosho were not illegal at all.</v>
      </c>
    </row>
    <row r="354" ht="15.75" customHeight="1">
      <c r="A354" s="2" t="s">
        <v>405</v>
      </c>
      <c r="B354" s="2" t="str">
        <f>IFERROR(__xludf.DUMMYFUNCTION("GOOGLETRANSLATE(A354, ""yo"", ""en"")"),"The Kanu prosecution committee said that section 76(1) of the 2022 anti-incitement law affirms that anyone who is accused of incitement cannot be tried on the charge, unless his trial has first taken place in the foreign country where it was used.")</f>
        <v>The Kanu prosecution committee said that section 76(1) of the 2022 anti-incitement law affirms that anyone who is accused of incitement cannot be tried on the charge, unless his trial has first taken place in the foreign country where it was used.</v>
      </c>
    </row>
    <row r="355" ht="15.75" customHeight="1">
      <c r="A355" s="2" t="s">
        <v>406</v>
      </c>
      <c r="B355" s="2" t="str">
        <f>IFERROR(__xludf.DUMMYFUNCTION("GOOGLETRANSLATE(A355, ""yo"", ""en"")"),"Kanu's lawyers said his extradition trial has not yet taken place in Kenya and they have brought him to Nigeria, which means that the trial taking place in Nigeria is against the law.")</f>
        <v>Kanu's lawyers said his extradition trial has not yet taken place in Kenya and they have brought him to Nigeria, which means that the trial taking place in Nigeria is against the law.</v>
      </c>
    </row>
    <row r="356" ht="15.75" customHeight="1">
      <c r="A356" s="2" t="s">
        <v>407</v>
      </c>
      <c r="B356" s="4" t="str">
        <f>IFERROR(__xludf.DUMMYFUNCTION("GOOGLETRANSLATE(A356, ""yo"", ""en"")"),"Kanu's prosecution committee also said that the way Kanu was brought back to Nigeria from Kenya was against the law.")</f>
        <v>Kanu's prosecution committee also said that the way Kanu was brought back to Nigeria from Kenya was against the law.</v>
      </c>
      <c r="C356" s="2"/>
      <c r="E356" s="2"/>
      <c r="G356" s="2"/>
      <c r="I356" s="2"/>
      <c r="K356" s="2"/>
      <c r="M356" s="2"/>
      <c r="O356" s="2"/>
      <c r="Q356" s="2"/>
      <c r="S356" s="2"/>
      <c r="U356" s="2"/>
    </row>
    <row r="357" ht="15.75" customHeight="1">
      <c r="A357" s="2" t="s">
        <v>408</v>
      </c>
      <c r="B357" s="3" t="str">
        <f>IFERROR(__xludf.DUMMYFUNCTION("GOOGLETRANSLATE(A357, ""yo"", ""en"")"),"Kanu's lawyers also said that section 45 of the federal high court law affirms that the trial of rape must take place where the accused has committed a crime.")</f>
        <v>Kanu's lawyers also said that section 45 of the federal high court law affirms that the trial of rape must take place where the accused has committed a crime.</v>
      </c>
    </row>
    <row r="358" ht="15.75" customHeight="1">
      <c r="A358" s="2" t="s">
        <v>409</v>
      </c>
      <c r="B358" s="2" t="str">
        <f>IFERROR(__xludf.DUMMYFUNCTION("GOOGLETRANSLATE(A358, ""yo"", ""en"")"),"They are in the UK and Kenya, the federal government said that the accusations against Kanu have taken place.")</f>
        <v>They are in the UK and Kenya, the federal government said that the accusations against Kanu have taken place.</v>
      </c>
    </row>
    <row r="359" ht="15.75" customHeight="1">
      <c r="A359" s="2" t="s">
        <v>410</v>
      </c>
      <c r="B359" s="2" t="str">
        <f>IFERROR(__xludf.DUMMYFUNCTION("GOOGLETRANSLATE(A359, ""yo"", ""en"")"),"Kanu's counsel said that the trial should not have been held in Abuja under the law.")</f>
        <v>Kanu's counsel said that the trial should not have been held in Abuja under the law.</v>
      </c>
      <c r="D359" s="2"/>
      <c r="E359" s="2"/>
      <c r="G359" s="2"/>
      <c r="H359" s="2"/>
      <c r="J359" s="2"/>
      <c r="K359" s="2"/>
      <c r="M359" s="2"/>
      <c r="N359" s="2"/>
      <c r="P359" s="2"/>
      <c r="Q359" s="2"/>
      <c r="S359" s="2"/>
      <c r="T359" s="2"/>
      <c r="V359" s="2"/>
    </row>
    <row r="360" ht="15.75" customHeight="1">
      <c r="A360" s="2" t="s">
        <v>411</v>
      </c>
      <c r="B360" s="2" t="str">
        <f>IFERROR(__xludf.DUMMYFUNCTION("GOOGLETRANSLATE(A360, ""yo"", ""en"")"),"The lawyers are calling on the federal government to end the trial because it is against the law.")</f>
        <v>The lawyers are calling on the federal government to end the trial because it is against the law.</v>
      </c>
      <c r="D360" s="2"/>
      <c r="E360" s="2"/>
      <c r="G360" s="2"/>
      <c r="H360" s="2"/>
      <c r="J360" s="2"/>
      <c r="K360" s="2"/>
      <c r="M360" s="2"/>
      <c r="N360" s="2"/>
      <c r="P360" s="2"/>
      <c r="Q360" s="2"/>
      <c r="S360" s="2"/>
      <c r="T360" s="2"/>
      <c r="V360" s="2"/>
    </row>
    <row r="361" ht="15.75" customHeight="1">
      <c r="A361" s="2" t="s">
        <v>412</v>
      </c>
      <c r="B361" s="2" t="str">
        <f>IFERROR(__xludf.DUMMYFUNCTION("GOOGLETRANSLATE(A361, ""yo"", ""en"")"),"They have the eyes that the lawyers will look at Nigeria if the government does not stop the trial in Abuja.")</f>
        <v>They have the eyes that the lawyers will look at Nigeria if the government does not stop the trial in Abuja.</v>
      </c>
      <c r="D361" s="2"/>
      <c r="E361" s="2"/>
      <c r="G361" s="2"/>
      <c r="H361" s="2"/>
      <c r="J361" s="2"/>
      <c r="K361" s="2"/>
      <c r="M361" s="2"/>
      <c r="N361" s="2"/>
      <c r="P361" s="2"/>
      <c r="Q361" s="2"/>
      <c r="S361" s="2"/>
      <c r="T361" s="2"/>
      <c r="V361" s="2"/>
    </row>
    <row r="362" ht="15.75" customHeight="1">
      <c r="A362" s="2" t="s">
        <v>413</v>
      </c>
      <c r="B362" s="2" t="str">
        <f>IFERROR(__xludf.DUMMYFUNCTION("GOOGLETRANSLATE(A362, ""yo"", ""en"")"),"Among the things that the citizens present at the meeting between Atiku and Aregbesola are telling the city is that Tinubu will fall in the 2027 election. Nile Aregbesola said Atiku had breakfast with the governor of Osun state earlier that day along with"&amp;" political commentators.")</f>
        <v>Among the things that the citizens present at the meeting between Atiku and Aregbesola are telling the city is that Tinubu will fall in the 2027 election. Nile Aregbesola said Atiku had breakfast with the governor of Osun state earlier that day along with political commentators.</v>
      </c>
      <c r="D362" s="2"/>
      <c r="E362" s="2"/>
      <c r="G362" s="2"/>
      <c r="H362" s="2"/>
      <c r="J362" s="2"/>
      <c r="K362" s="2"/>
      <c r="M362" s="2"/>
      <c r="N362" s="2"/>
      <c r="P362" s="2"/>
      <c r="Q362" s="2"/>
      <c r="S362" s="2"/>
      <c r="T362" s="2"/>
      <c r="V362" s="2"/>
    </row>
    <row r="363" ht="15.75" customHeight="1">
      <c r="A363" s="2" t="s">
        <v>414</v>
      </c>
      <c r="B363" s="2" t="str">
        <f>IFERROR(__xludf.DUMMYFUNCTION("GOOGLETRANSLATE(A363, ""yo"", ""en"")"),"Alhaji Namadi Sambo, who was once the vice president of Nigeria during the government of Goodluck Jonathan, went with Atiku to Aregbesola.")</f>
        <v>Alhaji Namadi Sambo, who was once the vice president of Nigeria during the government of Goodluck Jonathan, went with Atiku to Aregbesola.</v>
      </c>
      <c r="D363" s="2"/>
      <c r="E363" s="2"/>
      <c r="G363" s="2"/>
      <c r="H363" s="2"/>
      <c r="J363" s="2"/>
      <c r="K363" s="2"/>
      <c r="M363" s="2"/>
      <c r="N363" s="2"/>
      <c r="P363" s="2"/>
      <c r="Q363" s="2"/>
      <c r="S363" s="2"/>
      <c r="T363" s="2"/>
      <c r="V363" s="2"/>
    </row>
    <row r="364" ht="15.75" customHeight="1">
      <c r="A364" s="2" t="s">
        <v>415</v>
      </c>
      <c r="B364" s="2" t="str">
        <f>IFERROR(__xludf.DUMMYFUNCTION("ARRAYFORMULA(GOOGLETRANSLATE(A364:A996,""yo"",""en""))"),"Aregbesola and his guests were on their seats in his guest house when the townspeople began chanting that ""Tinubu will fall in 2027"" which means that President Bola Tinubu will be defeated in the 2027 presidential election.")</f>
        <v>Aregbesola and his guests were on their seats in his guest house when the townspeople began chanting that "Tinubu will fall in 2027" which means that President Bola Tinubu will be defeated in the 2027 presidential election.</v>
      </c>
      <c r="D364" s="2"/>
      <c r="E364" s="2"/>
      <c r="G364" s="2"/>
      <c r="H364" s="2"/>
      <c r="J364" s="2"/>
      <c r="K364" s="2"/>
      <c r="M364" s="2"/>
      <c r="N364" s="2"/>
      <c r="P364" s="2"/>
      <c r="Q364" s="2"/>
      <c r="S364" s="2"/>
      <c r="T364" s="2"/>
      <c r="V364" s="2"/>
    </row>
    <row r="365" ht="15.75" customHeight="1">
      <c r="A365" s="2" t="s">
        <v>416</v>
      </c>
      <c r="B365" s="2" t="str">
        <f>IFERROR(__xludf.DUMMYFUNCTION("GOOGLETRANSLATE(A365, ""yo"", ""en"")"),"Atiku posted a video of Aregbesola welcoming him and his political colleagues on his X page.")</f>
        <v>Atiku posted a video of Aregbesola welcoming him and his political colleagues on his X page.</v>
      </c>
      <c r="D365" s="2"/>
      <c r="E365" s="2"/>
      <c r="G365" s="2"/>
      <c r="H365" s="2"/>
      <c r="J365" s="2"/>
      <c r="K365" s="2"/>
      <c r="M365" s="2"/>
      <c r="N365" s="2"/>
      <c r="P365" s="2"/>
      <c r="Q365" s="2"/>
      <c r="S365" s="2"/>
      <c r="T365" s="2"/>
      <c r="V365" s="2"/>
    </row>
    <row r="366" ht="15.75" customHeight="1">
      <c r="A366" s="2" t="s">
        <v>417</v>
      </c>
      <c r="B366" s="2" t="str">
        <f>IFERROR(__xludf.DUMMYFUNCTION("GOOGLETRANSLATE(A366, ""yo"", ""en"")")," Among those who welcomed Atiku with Aregbesola were the former Speaker of the Osun State House of Assembly, Speaker Najeem Salaam and the former Osun State Secretary, Alhaji Moshood Adeoti.")</f>
        <v> Among those who welcomed Atiku with Aregbesola were the former Speaker of the Osun State House of Assembly, Speaker Najeem Salaam and the former Osun State Secretary, Alhaji Moshood Adeoti.</v>
      </c>
    </row>
    <row r="367" ht="15.75" customHeight="1">
      <c r="A367" s="2" t="s">
        <v>418</v>
      </c>
      <c r="B367" s="2" t="str">
        <f>IFERROR(__xludf.DUMMYFUNCTION("GOOGLETRANSLATE(A367, ""yo"", ""en"")"),"Other politicians who were there were Senator Adelowo Oriolowo who represented Osun south region in Abuja, the chairman of Aregbesola's political party, Alhaji Isaa Adesiji and other politicians who worked with Aregbe when he was governor of Osun state.")</f>
        <v>Other politicians who were there were Senator Adelowo Oriolowo who represented Osun south region in Abuja, the chairman of Aregbesola's political party, Alhaji Isaa Adesiji and other politicians who worked with Aregbe when he was governor of Osun state.</v>
      </c>
    </row>
    <row r="368" ht="15.75" customHeight="1">
      <c r="A368" s="2" t="s">
        <v>419</v>
      </c>
      <c r="B368" s="2" t="str">
        <f>IFERROR(__xludf.DUMMYFUNCTION("GOOGLETRANSLATE(A368, ""yo"", ""en"")"),"In the same way, Wike also accused Governor Seyi Makinde of Oyo state that he is causing a lot of trouble for the PDP political party because he failed to play his part in the agreement they signed.")</f>
        <v>In the same way, Wike also accused Governor Seyi Makinde of Oyo state that he is causing a lot of trouble for the PDP political party because he failed to play his part in the agreement they signed.</v>
      </c>
    </row>
    <row r="369" ht="15.75" customHeight="1">
      <c r="A369" s="2" t="s">
        <v>420</v>
      </c>
      <c r="B369" s="2" t="str">
        <f>IFERROR(__xludf.DUMMYFUNCTION("GOOGLETRANSLATE(A369, ""yo"", ""en"")"),"Wike described Makinde, Mba and others in the PDP political party as traitors.")</f>
        <v>Wike described Makinde, Mba and others in the PDP political party as traitors.</v>
      </c>
    </row>
    <row r="370" ht="15.75" customHeight="1">
      <c r="A370" s="2" t="s">
        <v>421</v>
      </c>
      <c r="B370" s="2" t="str">
        <f>IFERROR(__xludf.DUMMYFUNCTION("GOOGLETRANSLATE(A370, ""yo"", ""en"")"),"In a press release by Wike on behalf of Internet X, the former Rivers state governor has accused PDP leaders like the Enugu state governor, Peter Mbah, describing them as treacherous, dishonest and my accusations related to compromise.")</f>
        <v>In a press release by Wike on behalf of Internet X, the former Rivers state governor has accused PDP leaders like the Enugu state governor, Peter Mbah, describing them as treacherous, dishonest and my accusations related to compromise.</v>
      </c>
    </row>
    <row r="371" ht="15.75" customHeight="1">
      <c r="A371" s="2" t="s">
        <v>422</v>
      </c>
      <c r="B371" s="2" t="str">
        <f>IFERROR(__xludf.DUMMYFUNCTION("GOOGLETRANSLATE(A371, ""yo"", ""en"")"),"The source of the ongoing conflict in the political party started after the 2023 election, and the minister promised that he will not stop fighting until he sees justice.")</f>
        <v>The source of the ongoing conflict in the political party started after the 2023 election, and the minister promised that he will not stop fighting until he sees justice.</v>
      </c>
    </row>
    <row r="372" ht="15.75" customHeight="1">
      <c r="A372" s="2" t="s">
        <v>423</v>
      </c>
      <c r="B372" s="2" t="str">
        <f>IFERROR(__xludf.DUMMYFUNCTION("GOOGLETRANSLATE(A74, ""yo"", ""en"")"),"The first thing people should know is that the people of Yahoo who are doing fraud online have damaged the name of Nigeria.")</f>
        <v>The first thing people should know is that the people of Yahoo who are doing fraud online have damaged the name of Nigeria.</v>
      </c>
    </row>
    <row r="373" ht="15.75" customHeight="1">
      <c r="A373" s="2" t="s">
        <v>424</v>
      </c>
      <c r="B373" s="2" t="str">
        <f>IFERROR(__xludf.DUMMYFUNCTION("GOOGLETRANSLATE(A373, ""yo"", ""en"")"),"""After this meeting, we held another meeting in Abuja, there was me, Governor Seyi Makinde, Umaru Fintri, Bala Mohammed, and Bukola Saraki, at Saraki's hotel.")</f>
        <v>"After this meeting, we held another meeting in Abuja, there was me, Governor Seyi Makinde, Umaru Fintri, Bala Mohammed, and Bukola Saraki, at Saraki's hotel.</v>
      </c>
    </row>
    <row r="374" ht="15.75" customHeight="1">
      <c r="A374" s="2" t="s">
        <v>425</v>
      </c>
      <c r="B374" s="2" t="s">
        <v>3</v>
      </c>
    </row>
    <row r="375" ht="15.75" customHeight="1">
      <c r="A375" s="2" t="s">
        <v>426</v>
      </c>
      <c r="B375" s="2" t="s">
        <v>5</v>
      </c>
    </row>
    <row r="376" ht="15.75" customHeight="1">
      <c r="A376" s="2" t="s">
        <v>427</v>
      </c>
      <c r="B376" s="3" t="s">
        <v>7</v>
      </c>
    </row>
    <row r="377" ht="15.75" customHeight="1">
      <c r="A377" s="2" t="s">
        <v>428</v>
      </c>
      <c r="B377" s="2" t="s">
        <v>9</v>
      </c>
    </row>
    <row r="378" ht="15.75" customHeight="1">
      <c r="A378" s="2" t="s">
        <v>429</v>
      </c>
      <c r="B378" s="2" t="s">
        <v>11</v>
      </c>
    </row>
    <row r="379" ht="15.75" customHeight="1">
      <c r="A379" s="2" t="s">
        <v>430</v>
      </c>
      <c r="B379" s="2" t="s">
        <v>13</v>
      </c>
    </row>
    <row r="380" ht="15.75" customHeight="1">
      <c r="A380" s="2" t="s">
        <v>431</v>
      </c>
      <c r="B380" s="2" t="s">
        <v>15</v>
      </c>
    </row>
    <row r="381" ht="15.75" customHeight="1">
      <c r="A381" s="2" t="s">
        <v>432</v>
      </c>
      <c r="B381" s="2" t="s">
        <v>17</v>
      </c>
    </row>
    <row r="382" ht="15.75" customHeight="1">
      <c r="A382" s="2" t="s">
        <v>433</v>
      </c>
      <c r="B382" s="2" t="s">
        <v>19</v>
      </c>
    </row>
    <row r="383" ht="15.75" customHeight="1">
      <c r="A383" s="2" t="s">
        <v>434</v>
      </c>
      <c r="B383" s="2" t="s">
        <v>21</v>
      </c>
    </row>
    <row r="384" ht="15.75" customHeight="1">
      <c r="A384" s="2" t="s">
        <v>435</v>
      </c>
      <c r="B384" s="2" t="s">
        <v>23</v>
      </c>
    </row>
    <row r="385" ht="15.75" customHeight="1">
      <c r="A385" s="2" t="s">
        <v>436</v>
      </c>
      <c r="B385" s="2" t="s">
        <v>25</v>
      </c>
    </row>
    <row r="386" ht="15.75" customHeight="1">
      <c r="A386" s="2" t="s">
        <v>437</v>
      </c>
      <c r="B386" s="2" t="s">
        <v>27</v>
      </c>
    </row>
    <row r="387" ht="15.75" customHeight="1">
      <c r="A387" s="2" t="s">
        <v>438</v>
      </c>
      <c r="B387" s="2" t="str">
        <f>IFERROR(__xludf.DUMMYFUNCTION("GOOGLETRANSLATE(A87, ""yo"", ""en"")"),"Now, many of Yahoo's sons and politicians are using it to steal money and not go up the sea.")</f>
        <v>Now, many of Yahoo's sons and politicians are using it to steal money and not go up the sea.</v>
      </c>
    </row>
    <row r="388" ht="15.75" customHeight="1">
      <c r="A388" s="2" t="s">
        <v>439</v>
      </c>
      <c r="B388" s="2" t="s">
        <v>30</v>
      </c>
    </row>
    <row r="389" ht="15.75" customHeight="1">
      <c r="A389" s="2" t="s">
        <v>440</v>
      </c>
      <c r="B389" s="2" t="s">
        <v>32</v>
      </c>
    </row>
    <row r="390" ht="15.75" customHeight="1">
      <c r="A390" s="2" t="s">
        <v>441</v>
      </c>
      <c r="B390" s="2" t="s">
        <v>34</v>
      </c>
    </row>
    <row r="391" ht="15.75" customHeight="1">
      <c r="A391" s="2" t="s">
        <v>442</v>
      </c>
      <c r="B391" s="2" t="s">
        <v>36</v>
      </c>
    </row>
    <row r="392" ht="15.75" customHeight="1">
      <c r="A392" s="2" t="s">
        <v>443</v>
      </c>
      <c r="B392" s="2" t="s">
        <v>38</v>
      </c>
    </row>
    <row r="393" ht="15.75" customHeight="1">
      <c r="A393" s="2" t="s">
        <v>444</v>
      </c>
      <c r="B393" s="2" t="s">
        <v>40</v>
      </c>
    </row>
    <row r="394" ht="15.75" customHeight="1">
      <c r="A394" s="2" t="s">
        <v>445</v>
      </c>
      <c r="B394" s="2" t="s">
        <v>42</v>
      </c>
    </row>
    <row r="395" ht="15.75" customHeight="1">
      <c r="A395" s="2" t="s">
        <v>446</v>
      </c>
      <c r="B395" s="2" t="s">
        <v>44</v>
      </c>
    </row>
    <row r="396" ht="15.75" customHeight="1">
      <c r="A396" s="2" t="s">
        <v>447</v>
      </c>
      <c r="B396" s="2" t="s">
        <v>46</v>
      </c>
    </row>
    <row r="397" ht="15.75" customHeight="1">
      <c r="A397" s="2" t="s">
        <v>448</v>
      </c>
      <c r="B397" s="2" t="s">
        <v>48</v>
      </c>
    </row>
    <row r="398" ht="15.75" customHeight="1">
      <c r="A398" s="2" t="s">
        <v>449</v>
      </c>
      <c r="B398" s="2" t="s">
        <v>50</v>
      </c>
    </row>
    <row r="399" ht="15.75" customHeight="1">
      <c r="A399" s="2" t="s">
        <v>450</v>
      </c>
      <c r="B399" s="2" t="s">
        <v>52</v>
      </c>
    </row>
    <row r="400" ht="15.75" customHeight="1">
      <c r="A400" s="2" t="s">
        <v>451</v>
      </c>
      <c r="B400" s="2" t="s">
        <v>54</v>
      </c>
    </row>
    <row r="401" ht="15.75" customHeight="1">
      <c r="A401" s="2" t="s">
        <v>452</v>
      </c>
      <c r="B401" s="2" t="s">
        <v>56</v>
      </c>
    </row>
    <row r="402" ht="15.75" customHeight="1">
      <c r="A402" s="2" t="s">
        <v>453</v>
      </c>
      <c r="B402" s="2" t="s">
        <v>58</v>
      </c>
    </row>
    <row r="403" ht="15.75" customHeight="1">
      <c r="A403" s="2" t="s">
        <v>453</v>
      </c>
      <c r="B403" s="2" t="s">
        <v>454</v>
      </c>
    </row>
    <row r="404" ht="15.75" customHeight="1">
      <c r="A404" s="2" t="s">
        <v>455</v>
      </c>
      <c r="B404" s="2" t="str">
        <f>IFERROR(__xludf.DUMMYFUNCTION("GOOGLETRANSLATE(A404, ""yo"", ""en"")"),"Kwankwaso in many ways in the north has been damaged, he said that this is happening while the Tinubu government is investing heavily in various projects in the south of Nigeria.")</f>
        <v>Kwankwaso in many ways in the north has been damaged, he said that this is happening while the Tinubu government is investing heavily in various projects in the south of Nigeria.</v>
      </c>
    </row>
    <row r="405" ht="15.75" customHeight="1">
      <c r="A405" s="2" t="s">
        <v>456</v>
      </c>
      <c r="B405" s="2" t="s">
        <v>63</v>
      </c>
    </row>
    <row r="406" ht="15.75" customHeight="1">
      <c r="A406" s="2" t="s">
        <v>457</v>
      </c>
      <c r="B406" s="2" t="s">
        <v>65</v>
      </c>
    </row>
    <row r="407" ht="15.75" customHeight="1">
      <c r="A407" s="2" t="s">
        <v>458</v>
      </c>
      <c r="B407" s="2" t="s">
        <v>67</v>
      </c>
    </row>
    <row r="408" ht="15.75" customHeight="1">
      <c r="A408" s="2" t="s">
        <v>459</v>
      </c>
      <c r="B408" s="2" t="s">
        <v>69</v>
      </c>
    </row>
    <row r="409" ht="15.75" customHeight="1">
      <c r="A409" s="2" t="s">
        <v>460</v>
      </c>
      <c r="B409" s="2" t="s">
        <v>71</v>
      </c>
    </row>
    <row r="410" ht="15.75" customHeight="1">
      <c r="A410" s="2" t="s">
        <v>461</v>
      </c>
      <c r="B410" s="2" t="s">
        <v>73</v>
      </c>
    </row>
    <row r="411" ht="15.75" customHeight="1">
      <c r="A411" s="2" t="s">
        <v>462</v>
      </c>
      <c r="B411" s="2" t="s">
        <v>75</v>
      </c>
    </row>
    <row r="412" ht="15.75" customHeight="1">
      <c r="A412" s="2" t="s">
        <v>463</v>
      </c>
      <c r="B412" s="2" t="str">
        <f>IFERROR(__xludf.DUMMYFUNCTION("GOOGLETRANSLATE(A412, ""yo"", ""en"")"),"Mr. Dare also spoke about the work the government is doing on the Kaduna to Jos, Kano to Maiduguri road and road repairs in Adamawa and Borno states.")</f>
        <v>Mr. Dare also spoke about the work the government is doing on the Kaduna to Jos, Kano to Maiduguri road and road repairs in Adamawa and Borno states.</v>
      </c>
    </row>
    <row r="413" ht="15.75" customHeight="1">
      <c r="A413" s="2" t="s">
        <v>464</v>
      </c>
      <c r="B413" s="2" t="s">
        <v>78</v>
      </c>
    </row>
    <row r="414" ht="15.75" customHeight="1">
      <c r="A414" s="2" t="s">
        <v>465</v>
      </c>
      <c r="B414" s="2" t="s">
        <v>80</v>
      </c>
    </row>
    <row r="415" ht="15.75" customHeight="1">
      <c r="A415" s="2" t="s">
        <v>466</v>
      </c>
      <c r="B415" s="2" t="s">
        <v>82</v>
      </c>
    </row>
    <row r="416" ht="15.75" customHeight="1">
      <c r="A416" s="2" t="s">
        <v>453</v>
      </c>
      <c r="B416" s="2" t="s">
        <v>84</v>
      </c>
    </row>
    <row r="417" ht="15.75" customHeight="1">
      <c r="A417" s="2" t="s">
        <v>467</v>
      </c>
      <c r="B417" s="2" t="s">
        <v>86</v>
      </c>
    </row>
    <row r="418" ht="15.75" customHeight="1">
      <c r="A418" s="2" t="s">
        <v>468</v>
      </c>
      <c r="B418" s="2" t="s">
        <v>88</v>
      </c>
    </row>
    <row r="419" ht="15.75" customHeight="1">
      <c r="A419" s="2" t="s">
        <v>469</v>
      </c>
      <c r="B419" s="2" t="s">
        <v>90</v>
      </c>
    </row>
    <row r="420" ht="15.75" customHeight="1">
      <c r="A420" s="2" t="s">
        <v>455</v>
      </c>
      <c r="B420" s="2" t="s">
        <v>92</v>
      </c>
    </row>
    <row r="421" ht="15.75" customHeight="1">
      <c r="A421" s="2" t="s">
        <v>470</v>
      </c>
      <c r="B421" s="2" t="s">
        <v>94</v>
      </c>
    </row>
    <row r="422" ht="15.75" customHeight="1">
      <c r="A422" s="2" t="s">
        <v>471</v>
      </c>
      <c r="B422" s="2" t="s">
        <v>96</v>
      </c>
    </row>
    <row r="423" ht="15.75" customHeight="1">
      <c r="A423" s="2" t="s">
        <v>472</v>
      </c>
      <c r="B423" s="2" t="s">
        <v>98</v>
      </c>
    </row>
    <row r="424" ht="15.75" customHeight="1">
      <c r="A424" s="2" t="s">
        <v>473</v>
      </c>
      <c r="B424" s="2" t="s">
        <v>100</v>
      </c>
    </row>
    <row r="425" ht="15.75" customHeight="1">
      <c r="A425" s="2" t="s">
        <v>474</v>
      </c>
      <c r="B425" s="2" t="str">
        <f>IFERROR(__xludf.DUMMYFUNCTION("GOOGLETRANSLATE(A425, ""yo"", ""en"")"),"Recently some photos hit the internet showing how Kwankwaso is recruiting some politicians who are called former members of APC into NNPP.")</f>
        <v>Recently some photos hit the internet showing how Kwankwaso is recruiting some politicians who are called former members of APC into NNPP.</v>
      </c>
    </row>
    <row r="426" ht="15.75" customHeight="1">
      <c r="A426" s="2" t="s">
        <v>475</v>
      </c>
      <c r="B426" s="2" t="s">
        <v>103</v>
      </c>
    </row>
    <row r="427" ht="15.75" customHeight="1">
      <c r="A427" s="2" t="s">
        <v>476</v>
      </c>
      <c r="B427" s="2" t="s">
        <v>105</v>
      </c>
    </row>
    <row r="428" ht="15.75" customHeight="1">
      <c r="A428" s="2" t="s">
        <v>477</v>
      </c>
      <c r="B428" s="2" t="str">
        <f>IFERROR(__xludf.DUMMYFUNCTION("GOOGLETRANSLATE(A428, ""yo"", ""en"")"),"Many political scientists note that the word has to do with joining my political party.")</f>
        <v>Many political scientists note that the word has to do with joining my political party.</v>
      </c>
    </row>
    <row r="429" ht="15.75" customHeight="1">
      <c r="A429" s="2" t="s">
        <v>478</v>
      </c>
      <c r="B429" s="2" t="str">
        <f>IFERROR(__xludf.DUMMYFUNCTION("GOOGLETRANSLATE(A429, ""yo"", ""en"")"),"The legislators said that the party's lack of peace, lack of trust in the leaders, and the lack of certainty of a good future for the party, led them to leave.")</f>
        <v>The legislators said that the party's lack of peace, lack of trust in the leaders, and the lack of certainty of a good future for the party, led them to leave.</v>
      </c>
    </row>
    <row r="430" ht="15.75" customHeight="1">
      <c r="A430" s="2" t="s">
        <v>479</v>
      </c>
      <c r="B430" s="2" t="str">
        <f>IFERROR(__xludf.DUMMYFUNCTION("GOOGLETRANSLATE(A430, ""yo"", ""en"")"),"This move by political scientists is that it will give the ruling party in Nigeria, APC, the opportunity to have more members in both houses of parliament, which will also make it impossible for them to accept things that the government authorities want w"&amp;"ithout any opposition.")</f>
        <v>This move by political scientists is that it will give the ruling party in Nigeria, APC, the opportunity to have more members in both houses of parliament, which will also make it impossible for them to accept things that the government authorities want without any opposition.</v>
      </c>
    </row>
    <row r="431" ht="15.75" customHeight="1">
      <c r="A431" s="2" t="s">
        <v>480</v>
      </c>
      <c r="B431" s="4" t="s">
        <v>110</v>
      </c>
    </row>
    <row r="432" ht="15.75" customHeight="1">
      <c r="A432" s="2" t="s">
        <v>481</v>
      </c>
      <c r="B432" s="2" t="str">
        <f>IFERROR(__xludf.DUMMYFUNCTION("GOOGLETRANSLATE(A432, ""yo"", ""en"")"),"Only three senators are needed for him to take any step in the legislature without opposition members interfering with him.")</f>
        <v>Only three senators are needed for him to take any step in the legislature without opposition members interfering with him.</v>
      </c>
    </row>
    <row r="433" ht="15.75" customHeight="1">
      <c r="A433" s="2" t="s">
        <v>482</v>
      </c>
      <c r="B433" s="2" t="str">
        <f>IFERROR(__xludf.DUMMYFUNCTION("GOOGLETRANSLATE(A433, ""yo"", ""en"")"),"The number of senators who left their political party to join APC: Ibrahim Abdullahi Danbaba from Sokoto state - PDP to APC Ifeanyi Ubah YPP to APC, before his death.")</f>
        <v>The number of senators who left their political party to join APC: Ibrahim Abdullahi Danbaba from Sokoto state - PDP to APC Ifeanyi Ubah YPP to APC, before his death.</v>
      </c>
    </row>
    <row r="434" ht="15.75" customHeight="1">
      <c r="A434" s="2" t="s">
        <v>483</v>
      </c>
      <c r="B434" s="2" t="str">
        <f>IFERROR(__xludf.DUMMYFUNCTION("GOOGLETRANSLATE(A434, ""yo"", ""en"")"),"Ned Munir Nwoko from Delta state left PDP to APC.")</f>
        <v>Ned Munir Nwoko from Delta state left PDP to APC.</v>
      </c>
    </row>
    <row r="435" ht="15.75" customHeight="1">
      <c r="A435" s="2" t="s">
        <v>484</v>
      </c>
      <c r="B435" s="2" t="str">
        <f>IFERROR(__xludf.DUMMYFUNCTION("GOOGLETRANSLATE(A435, ""yo"", ""en"")"),"Ezenwa Onyewuchi from Imo state left LP for APC.")</f>
        <v>Ezenwa Onyewuchi from Imo state left LP for APC.</v>
      </c>
    </row>
    <row r="436" ht="15.75" customHeight="1">
      <c r="A436" s="2" t="s">
        <v>485</v>
      </c>
      <c r="B436" s="2" t="str">
        <f>IFERROR(__xludf.DUMMYFUNCTION("GOOGLETRANSLATE(A436, ""yo"", ""en"")"),"Kawu Sumaila from Kano state left NNPP to APC.")</f>
        <v>Kawu Sumaila from Kano state left NNPP to APC.</v>
      </c>
    </row>
    <row r="437" ht="15.75" customHeight="1">
      <c r="A437" s="2" t="s">
        <v>486</v>
      </c>
      <c r="B437" s="2" t="str">
        <f>IFERROR(__xludf.DUMMYFUNCTION("GOOGLETRANSLATE(A437, ""yo"", ""en"")"),"The legislators who left on Wednesday are: Onarebu Ajilesoro Taofeek Abimbola from Osun state Onanerebu Omirin Olusanya from Osun state Onarebu Marcus Onobu from Edo state According to their colleagues, the Speaker of the House of Representatives, Tajudee"&amp;"n Abass, while reading their letter, said that there is conflict in the PDP party and the lack of hope in the party made them leave.")</f>
        <v>The legislators who left on Wednesday are: Onarebu Ajilesoro Taofeek Abimbola from Osun state Onanerebu Omirin Olusanya from Osun state Onarebu Marcus Onobu from Edo state According to their colleagues, the Speaker of the House of Representatives, Tajudeen Abass, while reading their letter, said that there is conflict in the PDP party and the lack of hope in the party made them leave.</v>
      </c>
    </row>
    <row r="438" ht="15.75" customHeight="1">
      <c r="A438" s="2" t="s">
        <v>487</v>
      </c>
      <c r="B438" s="2" t="str">
        <f>IFERROR(__xludf.DUMMYFUNCTION("GOOGLETRANSLATE(A438, ""yo"", ""en"")"),"The name of the legislators who have joined the APC: Currently, the APC party has 210 members of the House of Representatives, after seeing 48 members agree to it because of those who left their political party, especially the Peoples Democratic Party.")</f>
        <v>The name of the legislators who have joined the APC: Currently, the APC party has 210 members of the House of Representatives, after seeing 48 members agree to it because of those who left their political party, especially the Peoples Democratic Party.</v>
      </c>
    </row>
    <row r="439" ht="15.75" customHeight="1">
      <c r="A439" s="2" t="s">
        <v>488</v>
      </c>
      <c r="B439" s="2" t="str">
        <f>IFERROR(__xludf.DUMMYFUNCTION("GOOGLETRANSLATE(A439, ""yo"", ""en"")"),"What this means is that he made it so that APC has the largest number of members even though it is denied at 240 out of 360.")</f>
        <v>What this means is that he made it so that APC has the largest number of members even though it is denied at 240 out of 360.</v>
      </c>
    </row>
    <row r="440" ht="15.75" customHeight="1">
      <c r="A440" s="2" t="s">
        <v>489</v>
      </c>
      <c r="B440" s="2" t="str">
        <f>IFERROR(__xludf.DUMMYFUNCTION("GOOGLETRANSLATE(A440, ""yo"", ""en"")"),"This will give them the opportunity to not put a stamp on anything that the government authorities want without any opposition.")</f>
        <v>This will give them the opportunity to not put a stamp on anything that the government authorities want without any opposition.</v>
      </c>
    </row>
    <row r="441" ht="15.75" customHeight="1">
      <c r="A441" s="2" t="s">
        <v>490</v>
      </c>
      <c r="B441" s="2" t="str">
        <f>IFERROR(__xludf.DUMMYFUNCTION("GOOGLETRANSLATE(A441, ""yo"", ""en"")"),"""Every suggestion that comes from you will be accepted without any objection.")</f>
        <v>"Every suggestion that comes from you will be accepted without any objection.</v>
      </c>
    </row>
    <row r="442" ht="15.75" customHeight="1">
      <c r="A442" s="2" t="s">
        <v>491</v>
      </c>
      <c r="B442" s="2" t="str">
        <f>IFERROR(__xludf.DUMMYFUNCTION("GOOGLETRANSLATE(A442, ""yo"", ""en"")"),"""Every proposal that the legislators are creating will be the one that will benefit the president and the APC party."" The Sufi scholar also said that this will reduce the power of his opposition party in the legislature.")</f>
        <v>"Every proposal that the legislators are creating will be the one that will benefit the president and the APC party." The Sufi scholar also said that this will reduce the power of his opposition party in the legislature.</v>
      </c>
    </row>
    <row r="443" ht="15.75" customHeight="1">
      <c r="A443" s="2" t="s">
        <v>492</v>
      </c>
      <c r="B443" s="2" t="str">
        <f>IFERROR(__xludf.DUMMYFUNCTION("GOOGLETRANSLATE(A443, ""yo"", ""en"")"),"He said it is not a good thing if there is no opposition party among the legislators ""because there they are discussing the steps that can rebuild the country or ignore it.")</f>
        <v>He said it is not a good thing if there is no opposition party among the legislators "because there they are discussing the steps that can rebuild the country or ignore it.</v>
      </c>
    </row>
    <row r="444" ht="15.75" customHeight="1">
      <c r="A444" s="2" t="s">
        <v>493</v>
      </c>
      <c r="B444" s="2" t="str">
        <f>IFERROR(__xludf.DUMMYFUNCTION("GOOGLETRANSLATE(A444, ""yo"", ""en"")"),"""It's like when they silenced the people when there was no power from the opposition."" The Sufi scholar explained that, the city leader sometimes needs an opposition voice to call his attention to a mistake, especially if it is something that can harm t"&amp;"he people.")</f>
        <v>"It's like when they silenced the people when there was no power from the opposition." The Sufi scholar explained that, the city leader sometimes needs an opposition voice to call his attention to a mistake, especially if it is something that can harm the people.</v>
      </c>
    </row>
    <row r="445" ht="15.75" customHeight="1">
      <c r="A445" s="2" t="s">
        <v>494</v>
      </c>
      <c r="B445" s="2" t="str">
        <f>IFERROR(__xludf.DUMMYFUNCTION("GOOGLETRANSLATE(A445, ""yo"", ""en"")"),"Among the consequences that this can do for the government is that, it will make the parliament more vulnerable to the government, which will lead them wherever they want.")</f>
        <v>Among the consequences that this can do for the government is that, it will make the parliament more vulnerable to the government, which will lead them wherever they want.</v>
      </c>
    </row>
    <row r="446" ht="15.75" customHeight="1">
      <c r="A446" s="2" t="s">
        <v>495</v>
      </c>
      <c r="B446" s="2" t="str">
        <f>IFERROR(__xludf.DUMMYFUNCTION("GOOGLETRANSLATE(A446, ""yo"", ""en"")"),"Similarly, the ruling party will do whatever it wants.")</f>
        <v>Similarly, the ruling party will do whatever it wants.</v>
      </c>
    </row>
    <row r="447" ht="15.75" customHeight="1">
      <c r="A447" s="2" t="s">
        <v>496</v>
      </c>
      <c r="B447" s="2" t="str">
        <f>IFERROR(__xludf.DUMMYFUNCTION("GOOGLETRANSLATE(A447, ""yo"", ""en"")"),"On the twenty-second day of Victory, July, the legislature introduced a bill called HB 2487.")</f>
        <v>On the twenty-second day of Victory, July, the legislature introduced a bill called HB 2487.</v>
      </c>
    </row>
    <row r="448" ht="15.75" customHeight="1">
      <c r="A448" s="2" t="s">
        <v>497</v>
      </c>
      <c r="B448" s="2" t="str">
        <f>IFERROR(__xludf.DUMMYFUNCTION("GOOGLETRANSLATE(A448, ""yo"", ""en"")"),"Amobi lawmaker Godwin Ogah who supported the proposal told reporters that this proposed law will make it mandatory for those who are displaced by the government to use government schools and hospitals if the law becomes law.")</f>
        <v>Amobi lawmaker Godwin Ogah who supported the proposal told reporters that this proposed law will make it mandatory for those who are displaced by the government to use government schools and hospitals if the law becomes law.</v>
      </c>
    </row>
    <row r="449" ht="15.75" customHeight="1">
      <c r="A449" s="2" t="s">
        <v>498</v>
      </c>
      <c r="B449" s="2" t="str">
        <f>IFERROR(__xludf.DUMMYFUNCTION("GOOGLETRANSLATE(A449, ""yo"", ""en"")"),"Ogah suggested that the law will help the education institutions and government hospitals to get the urgent care they need.")</f>
        <v>Ogah suggested that the law will help the education institutions and government hospitals to get the urgent care they need.</v>
      </c>
    </row>
    <row r="450" ht="15.75" customHeight="1">
      <c r="A450" s="2" t="s">
        <v>499</v>
      </c>
      <c r="B450" s="2" t="str">
        <f>IFERROR(__xludf.DUMMYFUNCTION("GOOGLETRANSLATE(A450, ""yo"", ""en"")"),"The lawmaker explained that if those in government positions and government employees are using private hospitals in Nigeria and abroad, it is one of the reasons why the education and health system is not well established.")</f>
        <v>The lawmaker explained that if those in government positions and government employees are using private hospitals in Nigeria and abroad, it is one of the reasons why the education and health system is not well established.</v>
      </c>
    </row>
    <row r="451" ht="15.75" customHeight="1">
      <c r="A451" s="2" t="s">
        <v>500</v>
      </c>
      <c r="B451" s="2" t="str">
        <f>IFERROR(__xludf.DUMMYFUNCTION("GOOGLETRANSLATE(A451, ""yo"", ""en"")"),"Similarly, Ogah added that, the leaders who fought for the independence of Nigeria such as Sir Ahmadu Bello, Chief Obafemi Awolowo, Scholar Nnamdi Azikwe and Tafawa Balewa went to the government school during their time.")</f>
        <v>Similarly, Ogah added that, the leaders who fought for the independence of Nigeria such as Sir Ahmadu Bello, Chief Obafemi Awolowo, Scholar Nnamdi Azikwe and Tafawa Balewa went to the government school during their time.</v>
      </c>
    </row>
    <row r="452" ht="15.75" customHeight="1">
      <c r="A452" s="2" t="s">
        <v>501</v>
      </c>
      <c r="B452" s="2" t="str">
        <f>IFERROR(__xludf.DUMMYFUNCTION("GOOGLETRANSLATE(A452, ""yo"", ""en"")"),"He said this is different from what many people in government positions are doing today who do not go to government schools or use government hospitals anymore.")</f>
        <v>He said this is different from what many people in government positions are doing today who do not go to government schools or use government hospitals anymore.</v>
      </c>
    </row>
    <row r="453" ht="15.75" customHeight="1">
      <c r="A453" s="2" t="s">
        <v>502</v>
      </c>
      <c r="B453" s="2" t="str">
        <f>IFERROR(__xludf.DUMMYFUNCTION("GOOGLETRANSLATE(A453, ""yo"", ""en"")"),"BBC News Yoruba news on your WhatsApp Join us where End of podcast promotion Mr. Ogah criticizes how much money Nigerians spend on education and health overseas.")</f>
        <v>BBC News Yoruba news on your WhatsApp Join us where End of podcast promotion Mr. Ogah criticizes how much money Nigerians spend on education and health overseas.</v>
      </c>
    </row>
    <row r="454" ht="15.75" customHeight="1">
      <c r="A454" s="2" t="s">
        <v>503</v>
      </c>
      <c r="B454" s="2" t="str">
        <f>IFERROR(__xludf.DUMMYFUNCTION("GOOGLETRANSLATE(A454, ""yo"", ""en"")"),"Nigerians have spent $29.29bn on their treatment in foreign hospitals during the administration of President Muhammadu Buhari.")</f>
        <v>Nigerians have spent $29.29bn on their treatment in foreign hospitals during the administration of President Muhammadu Buhari.</v>
      </c>
    </row>
    <row r="455" ht="15.75" customHeight="1">
      <c r="A455" s="2" t="s">
        <v>504</v>
      </c>
      <c r="B455" s="2" t="str">
        <f>IFERROR(__xludf.DUMMYFUNCTION("GOOGLETRANSLATE(A455, ""yo"", ""en"")"),"He also said that it is not less than $218.87m for Nigerians to study abroad in 2023 alone.")</f>
        <v>He also said that it is not less than $218.87m for Nigerians to study abroad in 2023 alone.</v>
      </c>
    </row>
    <row r="456" ht="15.75" customHeight="1">
      <c r="A456" s="2" t="s">
        <v>505</v>
      </c>
      <c r="B456" s="2" t="str">
        <f>IFERROR(__xludf.DUMMYFUNCTION("GOOGLETRANSLATE(A456, ""yo"", ""en"")"),"Lawmaker Ogah further explained that N1.336tr was allocated by the government for health only in the 2024 budget, while Nigerians spend no less than N1.6tr annually on health abroad.")</f>
        <v>Lawmaker Ogah further explained that N1.336tr was allocated by the government for health only in the 2024 budget, while Nigerians spend no less than N1.6tr annually on health abroad.</v>
      </c>
    </row>
    <row r="457" ht="15.75" customHeight="1">
      <c r="A457" s="2" t="s">
        <v>506</v>
      </c>
      <c r="B457" s="2" t="str">
        <f>IFERROR(__xludf.DUMMYFUNCTION("GOOGLETRANSLATE(A457, ""yo"", ""en"")"),"""Whatever leads us to remove the subsidy on petrol, we must legislate so that government officials and those who are in government positions are not allowed to go to schools and government hospitals,"" Ogah said.")</f>
        <v>"Whatever leads us to remove the subsidy on petrol, we must legislate so that government officials and those who are in government positions are not allowed to go to schools and government hospitals," Ogah said.</v>
      </c>
    </row>
    <row r="458" ht="15.75" customHeight="1">
      <c r="A458" s="2" t="s">
        <v>507</v>
      </c>
      <c r="B458" s="2" t="str">
        <f>IFERROR(__xludf.DUMMYFUNCTION("GOOGLETRANSLATE(A458, ""yo"", ""en"")"),"He said that because many people in the government are spending more money for their own health and for education, it is not possible for medical schools to stand well in Nigeria.")</f>
        <v>He said that because many people in the government are spending more money for their own health and for education, it is not possible for medical schools to stand well in Nigeria.</v>
      </c>
    </row>
    <row r="459" ht="15.75" customHeight="1">
      <c r="A459" s="2" t="s">
        <v>508</v>
      </c>
      <c r="B459" s="2" t="str">
        <f>IFERROR(__xludf.DUMMYFUNCTION("GOOGLETRANSLATE(A459, ""yo"", ""en"")"),"The lawmaker said that this law will reduce the number of Nigerians dying in overseas hospitals, and will also make the public have faith in government hospitals in Nigeria.")</f>
        <v>The lawmaker said that this law will reduce the number of Nigerians dying in overseas hospitals, and will also make the public have faith in government hospitals in Nigeria.</v>
      </c>
    </row>
    <row r="460" ht="15.75" customHeight="1">
      <c r="A460" s="2" t="s">
        <v>509</v>
      </c>
      <c r="B460" s="2" t="str">
        <f>IFERROR(__xludf.DUMMYFUNCTION("GOOGLETRANSLATE(A460, ""yo"", ""en"")"),"He urged Nigerians and journalists to support the constitution and not become law.")</f>
        <v>He urged Nigerians and journalists to support the constitution and not become law.</v>
      </c>
    </row>
    <row r="461" ht="15.75" customHeight="1">
      <c r="A461" s="2" t="s">
        <v>510</v>
      </c>
      <c r="B461" s="2" t="str">
        <f>IFERROR(__xludf.DUMMYFUNCTION("GOOGLETRANSLATE(A461, ""yo"", ""en"")"),"Igboho said this while visiting the Chief of the Igbon Nation, King Francis Alao, at his palace on Victory Day, the twenty-second day of July.")</f>
        <v>Igboho said this while visiting the Chief of the Igbon Nation, King Francis Alao, at his palace on Victory Day, the twenty-second day of July.</v>
      </c>
    </row>
    <row r="462" ht="15.75" customHeight="1">
      <c r="A462" s="2" t="s">
        <v>511</v>
      </c>
      <c r="B462" s="2" t="str">
        <f>IFERROR(__xludf.DUMMYFUNCTION("GOOGLETRANSLATE(A462, ""yo"", ""en"")"),"Owo Baba Dami used the opportunity of his visit to urge the governor to help him and regain his freedom in Nigeria.")</f>
        <v>Owo Baba Dami used the opportunity of his visit to urge the governor to help him and regain his freedom in Nigeria.</v>
      </c>
    </row>
    <row r="463" ht="15.75" customHeight="1">
      <c r="A463" s="2" t="s">
        <v>512</v>
      </c>
      <c r="B463" s="2" t="str">
        <f>IFERROR(__xludf.DUMMYFUNCTION("GOOGLETRANSLATE(A463, ""yo"", ""en"")"),"Igboho said, ""I am sad that I am not free to walk in my father's house.")</f>
        <v>Igboho said, "I am sad that I am not free to walk in my father's house.</v>
      </c>
    </row>
    <row r="464" ht="15.75" customHeight="1">
      <c r="A464" s="2" t="s">
        <v>513</v>
      </c>
      <c r="B464" s="2" t="str">
        <f>IFERROR(__xludf.DUMMYFUNCTION("GOOGLETRANSLATE(A464, ""yo"", ""en"")"),"I want the federal government to remove my name from the suspects they are looking for because I am not a criminal.")</f>
        <v>I want the federal government to remove my name from the suspects they are looking for because I am not a criminal.</v>
      </c>
    </row>
    <row r="465" ht="15.75" customHeight="1">
      <c r="A465" s="2" t="s">
        <v>514</v>
      </c>
      <c r="B465" s="2" t="str">
        <f>IFERROR(__xludf.DUMMYFUNCTION("GOOGLETRANSLATE(A465, ""yo"", ""en"")"),"Recently, when I went to the Nigerian headquarters in Germany to get my passport, they told me that the federal government had written to them that I was among the suspects they were looking for.")</f>
        <v>Recently, when I went to the Nigerian headquarters in Germany to get my passport, they told me that the federal government had written to them that I was among the suspects they were looking for.</v>
      </c>
    </row>
    <row r="466" ht="15.75" customHeight="1">
      <c r="A466" s="2" t="s">
        <v>515</v>
      </c>
      <c r="B466" s="2" t="str">
        <f>IFERROR(__xludf.DUMMYFUNCTION("GOOGLETRANSLATE(A466, ""yo"", ""en"")"),"What I want is that I want to be free like a Nigerian.'' Similarly, Igboho also said that the poor women's system in the Yoruba country needs immediate attention.")</f>
        <v>What I want is that I want to be free like a Nigerian.'' Similarly, Igboho also said that the poor women's system in the Yoruba country needs immediate attention.</v>
      </c>
    </row>
    <row r="467" ht="15.75" customHeight="1">
      <c r="A467" s="2" t="s">
        <v>516</v>
      </c>
      <c r="B467" s="2" t="str">
        <f>IFERROR(__xludf.DUMMYFUNCTION("GOOGLETRANSLATE(A467, ""yo"", ""en"")"),"Dami's father Awo did not fail to thank His Highness Olughd for the crown support given to him by you.")</f>
        <v>Dami's father Awo did not fail to thank His Highness Olughd for the crown support given to him by you.</v>
      </c>
    </row>
    <row r="468" ht="15.75" customHeight="1">
      <c r="A468" s="2" t="s">
        <v>517</v>
      </c>
      <c r="B468" s="2" t="str">
        <f>IFERROR(__xludf.DUMMYFUNCTION("GOOGLETRANSLATE(A468, ""yo"", ""en"")"),"Mr. Adeyemo said, ""King Olughb is one of my most loyal kings, I appreciate what his majesty has done for me."" While speaking on the issue of women's rights in the south-west of Nigeria which is Yoruba land, Igboho urged the federal government to appoint"&amp;" public women's security guards to provide adequate women in Yoruba land.")</f>
        <v>Mr. Adeyemo said, "King Olughb is one of my most loyal kings, I appreciate what his majesty has done for me." While speaking on the issue of women's rights in the south-west of Nigeria which is Yoruba land, Igboho urged the federal government to appoint public women's security guards to provide adequate women in Yoruba land.</v>
      </c>
    </row>
    <row r="469" ht="15.75" customHeight="1">
      <c r="A469" s="2" t="s">
        <v>518</v>
      </c>
      <c r="B469" s="2" t="str">
        <f>IFERROR(__xludf.DUMMYFUNCTION("GOOGLETRANSLATE(A469, ""yo"", ""en"")"),"He urged the government to appoint those who can work to replace those who are there and cannot do it well.")</f>
        <v>He urged the government to appoint those who can work to replace those who are there and cannot do it well.</v>
      </c>
    </row>
    <row r="470" ht="15.75" customHeight="1">
      <c r="A470" s="2" t="s">
        <v>519</v>
      </c>
      <c r="B470" s="2" t="str">
        <f>IFERROR(__xludf.DUMMYFUNCTION("GOOGLETRANSLATE(A470, ""yo"", ""en"")"),"Igboho is ready to support women's organizations if they are given the job.")</f>
        <v>Igboho is ready to support women's organizations if they are given the job.</v>
      </c>
    </row>
    <row r="471" ht="15.75" customHeight="1">
      <c r="A471" s="2" t="s">
        <v>520</v>
      </c>
      <c r="B471" s="2" t="str">
        <f>IFERROR(__xludf.DUMMYFUNCTION("GOOGLETRANSLATE(A471, ""yo"", ""en"")"),"Well, His Excellency Olughb in his speech described Ighoho as someone who loves his country and participated in the effort to make the Yoruba generation return to the presidency of Nigeria.")</f>
        <v>Well, His Excellency Olughb in his speech described Ighoho as someone who loves his country and participated in the effort to make the Yoruba generation return to the presidency of Nigeria.</v>
      </c>
    </row>
    <row r="472" ht="15.75" customHeight="1">
      <c r="A472" s="2" t="s">
        <v>521</v>
      </c>
      <c r="B472" s="2" t="str">
        <f>IFERROR(__xludf.DUMMYFUNCTION("GOOGLETRANSLATE(A472, ""yo"", ""en"")"),"The wise man assured Igboho that he was ready to help him, even the crown prince promised to talk to the Alaafin about the matter.")</f>
        <v>The wise man assured Igboho that he was ready to help him, even the crown prince promised to talk to the Alaafin about the matter.</v>
      </c>
    </row>
    <row r="473" ht="15.75" customHeight="1">
      <c r="A473" s="2" t="s">
        <v>522</v>
      </c>
      <c r="B473" s="2" t="str">
        <f>IFERROR(__xludf.DUMMYFUNCTION("GOOGLETRANSLATE(A473, ""yo"", ""en"")"),"""Sunday Igboho is not a criminal, he participated in the effort to see that the Yoruba returned to the presidency.")</f>
        <v>"Sunday Igboho is not a criminal, he participated in the effort to see that the Yoruba returned to the presidency.</v>
      </c>
    </row>
    <row r="474" ht="15.75" customHeight="1">
      <c r="A474" s="2" t="s">
        <v>523</v>
      </c>
      <c r="B474" s="2" t="str">
        <f>IFERROR(__xludf.DUMMYFUNCTION("GOOGLETRANSLATE(A474, ""yo"", ""en"")"),"I use this time to urge President Bola Tinubu to leave Sunday Igboho so that he can return to freedom.")</f>
        <v>I use this time to urge President Bola Tinubu to leave Sunday Igboho so that he can return to freedom.</v>
      </c>
    </row>
    <row r="475" ht="15.75" customHeight="1">
      <c r="A475" s="2" t="s">
        <v>524</v>
      </c>
      <c r="B475" s="2" t="str">
        <f>IFERROR(__xludf.DUMMYFUNCTION("GOOGLETRANSLATE(A475, ""yo"", ""en"")"),"I also urge all Yoruba governors to unite and talk to the president and give Igboho his freedom back.")</f>
        <v>I also urge all Yoruba governors to unite and talk to the president and give Igboho his freedom back.</v>
      </c>
    </row>
    <row r="476" ht="15.75" customHeight="1">
      <c r="A476" s="2" t="s">
        <v>525</v>
      </c>
      <c r="B476" s="2" t="str">
        <f>IFERROR(__xludf.DUMMYFUNCTION("GOOGLETRANSLATE(A476, ""yo"", ""en"")"),"What Igboho did in Oinbo is enough, we need it in Yoruba now,'' said Olughb.")</f>
        <v>What Igboho did in Oinbo is enough, we need it in Yoruba now,'' said Olughb.</v>
      </c>
    </row>
    <row r="477" ht="15.75" customHeight="1">
      <c r="A477" s="2" t="s">
        <v>526</v>
      </c>
      <c r="B477" s="2" t="str">
        <f>IFERROR(__xludf.DUMMYFUNCTION("GOOGLETRANSLATE(A477, ""yo"", ""en"")"),"Olugfad urged the federal government to appoint Igboho as the head of the Yoruba women's department because of his experience.")</f>
        <v>Olugfad urged the federal government to appoint Igboho as the head of the Yoruba women's department because of his experience.</v>
      </c>
    </row>
    <row r="478" ht="15.75" customHeight="1">
      <c r="A478" s="2" t="s">
        <v>527</v>
      </c>
      <c r="B478" s="2" t="str">
        <f>IFERROR(__xludf.DUMMYFUNCTION("GOOGLETRANSLATE(A478, ""yo"", ""en"")"),"King Alao will send the proposal to the governors so that they can inform President Tinubu.")</f>
        <v>King Alao will send the proposal to the governors so that they can inform President Tinubu.</v>
      </c>
    </row>
    <row r="479" ht="15.75" customHeight="1">
      <c r="A479" s="2" t="s">
        <v>528</v>
      </c>
      <c r="B479" s="2" t="str">
        <f>IFERROR(__xludf.DUMMYFUNCTION("GOOGLETRANSLATE(A479, ""yo"", ""en"")"),"What Kemi said in this speech is that he is indeed a Nigerian, but the children he gave birth to over the sea do not benefit from being Nigerians.")</f>
        <v>What Kemi said in this speech is that he is indeed a Nigerian, but the children he gave birth to over the sea do not benefit from being Nigerians.</v>
      </c>
    </row>
    <row r="480" ht="15.75" customHeight="1">
      <c r="A480" s="2" t="s">
        <v>529</v>
      </c>
      <c r="B480" s="2" t="str">
        <f>IFERROR(__xludf.DUMMYFUNCTION("GOOGLETRANSLATE(A480, ""yo"", ""en"")"),"Kemi, who was born in Nigeria, said this during an interview with journalist Fareed Zakaria on CNN.")</f>
        <v>Kemi, who was born in Nigeria, said this during an interview with journalist Fareed Zakaria on CNN.</v>
      </c>
    </row>
    <row r="481" ht="15.75" customHeight="1">
      <c r="A481" s="2" t="s">
        <v>530</v>
      </c>
      <c r="B481" s="2" t="str">
        <f>IFERROR(__xludf.DUMMYFUNCTION("GOOGLETRANSLATE(A481, ""yo"", ""en"")"),"Information on how it will not be difficult for people coming to the UK from abroad such as Nigeria, Kemi is talking about the program that has affected Nigeria.")</f>
        <v>Information on how it will not be difficult for people coming to the UK from abroad such as Nigeria, Kemi is talking about the program that has affected Nigeria.</v>
      </c>
    </row>
    <row r="482" ht="15.75" customHeight="1">
      <c r="A482" s="2" t="s">
        <v>531</v>
      </c>
      <c r="B482" s="2" t="str">
        <f>IFERROR(__xludf.DUMMYFUNCTION("GOOGLETRANSLATE(A482, ""yo"", ""en"")"),"Kemi gave Nigeria as an example and said that she is actually a Nigerian because her parents are from there, but the children she gave birth to in the UK are not eligible to be Nigerians because she is a woman.")</f>
        <v>Kemi gave Nigeria as an example and said that she is actually a Nigerian because her parents are from there, but the children she gave birth to in the UK are not eligible to be Nigerians because she is a woman.</v>
      </c>
    </row>
    <row r="483" ht="15.75" customHeight="1">
      <c r="A483" s="2" t="s">
        <v>532</v>
      </c>
      <c r="B483" s="2" t="str">
        <f>IFERROR(__xludf.DUMMYFUNCTION("GOOGLETRANSLATE(A483, ""yo"", ""en"")"),"This is why BBC Yoruba analyzed what the Nigerian constitution says about being a citizen and those who are legally entitled to be a citizen of Nigeria.")</f>
        <v>This is why BBC Yoruba analyzed what the Nigerian constitution says about being a citizen and those who are legally entitled to be a citizen of Nigeria.</v>
      </c>
    </row>
    <row r="484" ht="15.75" customHeight="1">
      <c r="A484" s="2" t="s">
        <v>533</v>
      </c>
      <c r="B484" s="2" t="str">
        <f>IFERROR(__xludf.DUMMYFUNCTION("GOOGLETRANSLATE(A484, ""yo"", ""en"")"),"The Nigerian constitution which was amended in 1999 lays down who can be a Nigerian and how one can become a Nigerian.")</f>
        <v>The Nigerian constitution which was amended in 1999 lays down who can be a Nigerian and how one can become a Nigerian.</v>
      </c>
    </row>
    <row r="485" ht="15.75" customHeight="1">
      <c r="A485" s="2" t="s">
        <v>534</v>
      </c>
      <c r="B485" s="2" t="str">
        <f>IFERROR(__xludf.DUMMYFUNCTION("GOOGLETRANSLATE(A485, ""yo"", ""en"")"),"According to Kemi Badenoch, there are three ways a person can be or become a citizen of Nigeria - by being born in Nigeria, by registering to become a Nigerian citizen and by the government making a person a citizen.")</f>
        <v>According to Kemi Badenoch, there are three ways a person can be or become a citizen of Nigeria - by being born in Nigeria, by registering to become a Nigerian citizen and by the government making a person a citizen.</v>
      </c>
    </row>
    <row r="486" ht="15.75" customHeight="1">
      <c r="A486" s="2" t="s">
        <v>535</v>
      </c>
      <c r="B486" s="2" t="str">
        <f>IFERROR(__xludf.DUMMYFUNCTION("GOOGLETRANSLATE(A486, ""yo"", ""en"")"),"These provisions are found in section 25, 26, and section 27 of the Nigerian constitution.")</f>
        <v>These provisions are found in section 25, 26, and section 27 of the Nigerian constitution.</v>
      </c>
    </row>
    <row r="487" ht="15.75" customHeight="1">
      <c r="A487" s="2" t="s">
        <v>536</v>
      </c>
      <c r="B487" s="2" t="str">
        <f>IFERROR(__xludf.DUMMYFUNCTION("GOOGLETRANSLATE(A487, ""yo"", ""en"")"),"These are the analysis of what the sections of the Nigerian book say about citizenship: The Nigerian constitution of 1999, clearly states that the following are Nigerian citizens: • A person who was born in Nigeria before independence, if any of his paren"&amp;"ts or those who gave birth to his parents were born in a region in Nigeria.")</f>
        <v>These are the analysis of what the sections of the Nigerian book say about citizenship: The Nigerian constitution of 1999, clearly states that the following are Nigerian citizens: • A person who was born in Nigeria before independence, if any of his parents or those who gave birth to his parents were born in a region in Nigeria.</v>
      </c>
    </row>
    <row r="488" ht="15.75" customHeight="1">
      <c r="A488" s="2" t="s">
        <v>537</v>
      </c>
      <c r="B488" s="2" t="str">
        <f>IFERROR(__xludf.DUMMYFUNCTION("GOOGLETRANSLATE(A488, ""yo"", ""en"")"),"The law states that a person cannot be a Nigerian if his parents or grandparents or grandfather were not born in Nigeria.")</f>
        <v>The law states that a person cannot be a Nigerian if his parents or grandparents or grandfather were not born in Nigeria.</v>
      </c>
    </row>
    <row r="489" ht="15.75" customHeight="1">
      <c r="A489" s="2" t="s">
        <v>538</v>
      </c>
      <c r="B489" s="2" t="str">
        <f>IFERROR(__xludf.DUMMYFUNCTION("GOOGLETRANSLATE(A489, ""yo"", ""en"")"),"Anyone born in Nigeria after independence, whose mother or father, or their parents are Nigerians.")</f>
        <v>Anyone born in Nigeria after independence, whose mother or father, or their parents are Nigerians.</v>
      </c>
    </row>
    <row r="490" ht="15.75" customHeight="1">
      <c r="A490" s="2" t="s">
        <v>539</v>
      </c>
      <c r="B490" s="2" t="str">
        <f>IFERROR(__xludf.DUMMYFUNCTION("GOOGLETRANSLATE(A490, ""yo"", ""en"")"),"Anyone who was not born in Nigeria, but whose parents are Nigerians.")</f>
        <v>Anyone who was not born in Nigeria, but whose parents are Nigerians.</v>
      </c>
    </row>
    <row r="491" ht="15.75" customHeight="1">
      <c r="A491" s="2" t="s">
        <v>540</v>
      </c>
      <c r="B491" s="2" t="str">
        <f>IFERROR(__xludf.DUMMYFUNCTION("GOOGLETRANSLATE(A491, ""yo"", ""en"")"),"First, let us understand that Kemi Badenoch is a Nigerian, and that her parents are Nigerians, even though they were not born in Nigeria.")</f>
        <v>First, let us understand that Kemi Badenoch is a Nigerian, and that her parents are Nigerians, even though they were not born in Nigeria.</v>
      </c>
    </row>
    <row r="492" ht="15.75" customHeight="1">
      <c r="A492" s="2" t="s">
        <v>541</v>
      </c>
      <c r="B492" s="2" t="str">
        <f>IFERROR(__xludf.DUMMYFUNCTION("GOOGLETRANSLATE(A492, ""yo"", ""en"")"),"According to section twenty-six, chapter nine-in-in (1) of the constitution of 1999 as amended, a person can become a citizen of Nigeria if: The person has good character, has a pure heart, feels good, and has sworn to be loyal to this country.")</f>
        <v>According to section twenty-six, chapter nine-in-in (1) of the constitution of 1999 as amended, a person can become a citizen of Nigeria if: The person has good character, has a pure heart, feels good, and has sworn to be loyal to this country.</v>
      </c>
    </row>
    <row r="493" ht="15.75" customHeight="1">
      <c r="A493" s="2" t="s">
        <v>542</v>
      </c>
      <c r="B493" s="2" t="str">
        <f>IFERROR(__xludf.DUMMYFUNCTION("GOOGLETRANSLATE(A493, ""yo"", ""en"")"),"A woman who wants to marry a Nigerian.")</f>
        <v>A woman who wants to marry a Nigerian.</v>
      </c>
    </row>
    <row r="494" ht="15.75" customHeight="1">
      <c r="A494" s="2" t="s">
        <v>543</v>
      </c>
      <c r="B494" s="2" t="str">
        <f>IFERROR(__xludf.DUMMYFUNCTION("GOOGLETRANSLATE(A494, ""yo"", ""en"")"),"Anyone who has matured in age and in every way, who was born to a mute egg, but whose parents were born is a Nigerian.")</f>
        <v>Anyone who has matured in age and in every way, who was born to a mute egg, but whose parents were born is a Nigerian.</v>
      </c>
    </row>
    <row r="495" ht="15.75" customHeight="1">
      <c r="A495" s="2" t="s">
        <v>544</v>
      </c>
      <c r="B495" s="2" t="str">
        <f>IFERROR(__xludf.DUMMYFUNCTION("GOOGLETRANSLATE(A495, ""yo"", ""en"")"),"Now, if anyone wants to become a Nigerian under this category, that person has to register, and the president of the country will sign it.")</f>
        <v>Now, if anyone wants to become a Nigerian under this category, that person has to register, and the president of the country will sign it.</v>
      </c>
    </row>
    <row r="496" ht="15.75" customHeight="1">
      <c r="A496" s="2" t="s">
        <v>545</v>
      </c>
      <c r="B496" s="2" t="str">
        <f>IFERROR(__xludf.DUMMYFUNCTION("GOOGLETRANSLATE(A496, ""yo"", ""en"")"),"This step should not be rushed, you have a plan and procedure to follow.")</f>
        <v>This step should not be rushed, you have a plan and procedure to follow.</v>
      </c>
    </row>
    <row r="497" ht="15.75" customHeight="1">
      <c r="A497" s="2" t="s">
        <v>546</v>
      </c>
      <c r="B497" s="2" t="str">
        <f>IFERROR(__xludf.DUMMYFUNCTION("GOOGLETRANSLATE(A497, ""yo"", ""en"")"),"Article 27 of the Nigerian constitution states that the president can convert a foreigner into a citizen of Nigeria as long as the person fulfills the requirements of the constitution.")</f>
        <v>Article 27 of the Nigerian constitution states that the president can convert a foreigner into a citizen of Nigeria as long as the person fulfills the requirements of the constitution.</v>
      </c>
    </row>
    <row r="498" ht="15.75" customHeight="1">
      <c r="A498" s="2" t="s">
        <v>547</v>
      </c>
      <c r="B498" s="2" t="str">
        <f>IFERROR(__xludf.DUMMYFUNCTION("GOOGLETRANSLATE(A498, ""yo"", ""en"")"),"Among the qualifications that the person must have, is that he must have lived in Nigeria for about fifteen years.")</f>
        <v>Among the qualifications that the person must have, is that he must have lived in Nigeria for about fifteen years.</v>
      </c>
    </row>
    <row r="499" ht="15.75" customHeight="1">
      <c r="A499" s="2" t="s">
        <v>548</v>
      </c>
      <c r="B499" s="2" t="str">
        <f>IFERROR(__xludf.DUMMYFUNCTION("GOOGLETRANSLATE(A499, ""yo"", ""en"")"),"Such a person must also swear that he will behave like a criminal in Nigeria.")</f>
        <v>Such a person must also swear that he will behave like a criminal in Nigeria.</v>
      </c>
    </row>
    <row r="500" ht="15.75" customHeight="1">
      <c r="A500" s="2" t="s">
        <v>549</v>
      </c>
      <c r="B500" s="2" t="str">
        <f>IFERROR(__xludf.DUMMYFUNCTION("GOOGLETRANSLATE(A500, ""yo"", ""en"")"),"Under these three sections, Kemi Badenoch's children are eligible to be citizens of Nigeria because their mother and parents are Nigerians as laid down in section 25 of the Nigerian Constitution.")</f>
        <v>Under these three sections, Kemi Badenoch's children are eligible to be citizens of Nigeria because their mother and parents are Nigerians as laid down in section 25 of the Nigerian Constitution.</v>
      </c>
    </row>
    <row r="501" ht="15.75" customHeight="1">
      <c r="A501" s="2" t="s">
        <v>550</v>
      </c>
      <c r="B501" s="2" t="str">
        <f>IFERROR(__xludf.DUMMYFUNCTION("GOOGLETRANSLATE(A501, ""yo"", ""en"")"),"In fact, they can still become Nigerians by registering even though they were not born in Nigeria.")</f>
        <v>In fact, they can still become Nigerians by registering even though they were not born in Nigeria.</v>
      </c>
    </row>
    <row r="502" ht="15.75" customHeight="1">
      <c r="A502" s="2" t="s">
        <v>551</v>
      </c>
      <c r="B502" s="2" t="str">
        <f>IFERROR(__xludf.DUMMYFUNCTION("GOOGLETRANSLATE(A502, ""yo"", ""en"")"),"However, as long as it is said that their mother and her parents are born in Nigeria, they can register to become citizens in Nigeria.")</f>
        <v>However, as long as it is said that their mother and her parents are born in Nigeria, they can register to become citizens in Nigeria.</v>
      </c>
    </row>
    <row r="503" ht="15.75" customHeight="1">
      <c r="A503" s="2" t="s">
        <v>552</v>
      </c>
      <c r="B503" s="2" t="str">
        <f>IFERROR(__xludf.DUMMYFUNCTION("GOOGLETRANSLATE(A503, ""yo"", ""en"")"),"This will not happen whether a woman or a man gives birth to a child abroad, such children are entitled to become citizens of Nigeria as long as it is said that their parents are born in Nigeria.")</f>
        <v>This will not happen whether a woman or a man gives birth to a child abroad, such children are entitled to become citizens of Nigeria as long as it is said that their parents are born in Nigeria.</v>
      </c>
    </row>
    <row r="504" ht="15.75" customHeight="1">
      <c r="A504" s="2" t="s">
        <v>553</v>
      </c>
      <c r="B504" s="2" t="str">
        <f>IFERROR(__xludf.DUMMYFUNCTION("GOOGLETRANSLATE(A504, ""yo"", ""en"")"),"His real name is Olukemi Adegoke, he was born in Wimbledon in 1980.")</f>
        <v>His real name is Olukemi Adegoke, he was born in Wimbledon in 1980.</v>
      </c>
    </row>
    <row r="505" ht="15.75" customHeight="1">
      <c r="A505" s="2" t="s">
        <v>554</v>
      </c>
      <c r="B505" s="2" t="str">
        <f>IFERROR(__xludf.DUMMYFUNCTION("GOOGLETRANSLATE(A505, ""yo"", ""en"")"),"But he grew up in Lagos in Nigeria and America where his mother was a teacher.")</f>
        <v>But he grew up in Lagos in Nigeria and America where his mother was a teacher.</v>
      </c>
    </row>
    <row r="506" ht="15.75" customHeight="1">
      <c r="A506" s="2" t="s">
        <v>555</v>
      </c>
      <c r="B506" s="2" t="str">
        <f>IFERROR(__xludf.DUMMYFUNCTION("GOOGLETRANSLATE(A506, ""yo"", ""en"")"),"He returned to the UK at the age of 16 to live with his mother's friend because of the political and financial issues that affected Nigeria at the time.")</f>
        <v>He returned to the UK at the age of 16 to live with his mother's friend because of the political and financial issues that affected Nigeria at the time.</v>
      </c>
    </row>
    <row r="507" ht="15.75" customHeight="1">
      <c r="A507" s="2" t="s">
        <v>556</v>
      </c>
      <c r="B507" s="2" t="str">
        <f>IFERROR(__xludf.DUMMYFUNCTION("GOOGLETRANSLATE(A507, ""yo"", ""en"")"),"She took the name Badenoch after marrying her husband, Hamish Badenoch, who is from Scotland.")</f>
        <v>She took the name Badenoch after marrying her husband, Hamish Badenoch, who is from Scotland.</v>
      </c>
    </row>
    <row r="508" ht="15.75" customHeight="1">
      <c r="A508" s="2" t="s">
        <v>557</v>
      </c>
      <c r="B508" s="2" t="str">
        <f>IFERROR(__xludf.DUMMYFUNCTION("GOOGLETRANSLATE(A508, ""yo"", ""en"")"),"Kemi described Nigeria as a country where there is no law, and remembered everything he went through while living in Lagos.")</f>
        <v>Kemi described Nigeria as a country where there is no law, and remembered everything he went through while living in Lagos.</v>
      </c>
    </row>
    <row r="509" ht="15.75" customHeight="1">
      <c r="A509" s="2" t="s">
        <v>558</v>
      </c>
      <c r="B509" s="2" t="str">
        <f>IFERROR(__xludf.DUMMYFUNCTION("GOOGLETRANSLATE(A509, ""yo"", ""en"")"),"Among the things that Kemi has said about Nigeria that caused controversy is the speech he said during his trip to the US, saying that Lagos is a city where nothing is working.")</f>
        <v>Among the things that Kemi has said about Nigeria that caused controversy is the speech he said during his trip to the US, saying that Lagos is a city where nothing is working.</v>
      </c>
    </row>
    <row r="510" ht="15.75" customHeight="1">
      <c r="A510" s="2" t="s">
        <v>559</v>
      </c>
      <c r="B510" s="2" t="str">
        <f>IFERROR(__xludf.DUMMYFUNCTION("GOOGLETRANSLATE(A510, ""yo"", ""en"")"),"Governor Adeleke said this in a press release published on his website X in which he said that he and the crew of the political party in the state made this decision after spending many weeks with officials, government officials and leaders across the sta"&amp;"te.")</f>
        <v>Governor Adeleke said this in a press release published on his website X in which he said that he and the crew of the political party in the state made this decision after spending many weeks with officials, government officials and leaders across the state.</v>
      </c>
    </row>
    <row r="511" ht="15.75" customHeight="1">
      <c r="A511" s="2" t="s">
        <v>560</v>
      </c>
      <c r="B511" s="2" t="str">
        <f>IFERROR(__xludf.DUMMYFUNCTION("GOOGLETRANSLATE(A511, ""yo"", ""en"")"),"He also added these people who have signed him as a candidate of the political party for the 2026 election.")</f>
        <v>He also added these people who have signed him as a candidate of the political party for the 2026 election.</v>
      </c>
    </row>
    <row r="512" ht="15.75" customHeight="1">
      <c r="A512" s="2" t="s">
        <v>561</v>
      </c>
      <c r="B512" s="2" t="str">
        <f>IFERROR(__xludf.DUMMYFUNCTION("GOOGLETRANSLATE(A512, ""yo"", ""en"")"),"The press release that they released after the discussion and discussion that took place at the Osun state government building in Oshogbo said that one of the things they think about President Tinubu and they want to close now is that he is a native of Os"&amp;"un state.")</f>
        <v>The press release that they released after the discussion and discussion that took place at the Osun state government building in Oshogbo said that one of the things they think about President Tinubu and they want to close now is that he is a native of Osun state.</v>
      </c>
    </row>
    <row r="513" ht="15.75" customHeight="1">
      <c r="A513" s="2" t="s">
        <v>562</v>
      </c>
      <c r="B513" s="2" t="str">
        <f>IFERROR(__xludf.DUMMYFUNCTION("GOOGLETRANSLATE(A513, ""yo"", ""en"")"),"The committee that is looking into the amendment of the Nigerian constitution made a proposal for the creation of thirty-one states.")</f>
        <v>The committee that is looking into the amendment of the Nigerian constitution made a proposal for the creation of thirty-one states.</v>
      </c>
    </row>
    <row r="514" ht="15.75" customHeight="1">
      <c r="A514" s="2" t="s">
        <v>563</v>
      </c>
      <c r="B514" s="2" t="str">
        <f>IFERROR(__xludf.DUMMYFUNCTION("GOOGLETRANSLATE(A514, ""yo"", ""en"")"),"On Wednesday, the sixth of February, the committee presented the proposal in front of the house and read it and set the members of the house in their seats.")</f>
        <v>On Wednesday, the sixth of February, the committee presented the proposal in front of the house and read it and set the members of the house in their seats.</v>
      </c>
    </row>
    <row r="515" ht="15.75" customHeight="1">
      <c r="A515" s="2" t="s">
        <v>564</v>
      </c>
      <c r="B515" s="2" t="str">
        <f>IFERROR(__xludf.DUMMYFUNCTION("GOOGLETRANSLATE(A515, ""yo"", ""en"")"),"The Deputy Speaker of the House of Representatives, Benjamin Kalu presided over the meeting on Thursday.")</f>
        <v>The Deputy Speaker of the House of Representatives, Benjamin Kalu presided over the meeting on Thursday.</v>
      </c>
    </row>
    <row r="516" ht="15.75" customHeight="1">
      <c r="A516" s="2" t="s">
        <v>565</v>
      </c>
      <c r="B516" s="2" t="str">
        <f>IFERROR(__xludf.DUMMYFUNCTION("GOOGLETRANSLATE(A516, ""yo"", ""en"")"),"The chairman of the committee said that they have proposed that the government create six new states in the central region of Nigeria, four more in the northeast region.")</f>
        <v>The chairman of the committee said that they have proposed that the government create six new states in the central region of Nigeria, four more in the northeast region.</v>
      </c>
    </row>
    <row r="517" ht="15.75" customHeight="1">
      <c r="A517" s="2" t="s">
        <v>566</v>
      </c>
      <c r="B517" s="2" t="str">
        <f>IFERROR(__xludf.DUMMYFUNCTION("GOOGLETRANSLATE(A517, ""yo"", ""en"")"),"If the upper house of parliament signs this proposal, this will mean that Nigeria will have seventy-seven states.")</f>
        <v>If the upper house of parliament signs this proposal, this will mean that Nigeria will have seventy-seven states.</v>
      </c>
    </row>
    <row r="518" ht="15.75" customHeight="1">
      <c r="A518" s="2" t="s">
        <v>567</v>
      </c>
      <c r="B518" s="2" t="str">
        <f>IFERROR(__xludf.DUMMYFUNCTION("GOOGLETRANSLATE(A518, ""yo"", ""en"")"),"This seventy-seven states will be more than the United States of America which has fifty states.")</f>
        <v>This seventy-seven states will be more than the United States of America which has fifty states.</v>
      </c>
    </row>
    <row r="519" ht="15.75" customHeight="1">
      <c r="A519" s="2" t="s">
        <v>568</v>
      </c>
      <c r="B519" s="2" t="str">
        <f>IFERROR(__xludf.DUMMYFUNCTION("GOOGLETRANSLATE(A519, ""yo"", ""en"")"),"The committee that is revising the Nigerian constitution said in the letter they read in front of the house that ""we are taking this opportunity to inform the house that the committee that is looking at the revision of the Nigerian constitution has recei"&amp;"ved a petition for the creation of new states and new local government.")</f>
        <v>The committee that is revising the Nigerian constitution said in the letter they read in front of the house that "we are taking this opportunity to inform the house that the committee that is looking at the revision of the Nigerian constitution has received a petition for the creation of new states and new local government.</v>
      </c>
    </row>
    <row r="520" ht="15.75" customHeight="1">
      <c r="A520" s="2" t="s">
        <v>569</v>
      </c>
      <c r="B520" s="2" t="str">
        <f>IFERROR(__xludf.DUMMYFUNCTION("GOOGLETRANSLATE(A520, ""yo"", ""en"")"),"It is said that he is the chairman of the plant bank, BOA, in Nigeria.")</f>
        <v>It is said that he is the chairman of the plant bank, BOA, in Nigeria.</v>
      </c>
    </row>
    <row r="521" ht="15.75" customHeight="1">
      <c r="A521" s="2" t="s">
        <v>570</v>
      </c>
      <c r="B521" s="2" t="str">
        <f>IFERROR(__xludf.DUMMYFUNCTION("GOOGLETRANSLATE(A521, ""yo"", ""en"")"),"Many newspapers reported that Babangida's son refused to accept the position that Tinubu appointed him to.")</f>
        <v>Many newspapers reported that Babangida's son refused to accept the position that Tinubu appointed him to.</v>
      </c>
    </row>
    <row r="522" ht="15.75" customHeight="1">
      <c r="A522" s="2" t="s">
        <v>571</v>
      </c>
      <c r="B522" s="2" t="str">
        <f>IFERROR(__xludf.DUMMYFUNCTION("GOOGLETRANSLATE(A522, ""yo"", ""en"")"),"Some of them are attacking Muhammed and some of them are insulting him on the news that he refused to accept the position that the president of Nigeria appointed him to.")</f>
        <v>Some of them are attacking Muhammed and some of them are insulting him on the news that he refused to accept the position that the president of Nigeria appointed him to.</v>
      </c>
    </row>
    <row r="523" ht="15.75" customHeight="1">
      <c r="A523" s="2" t="s">
        <v>572</v>
      </c>
      <c r="B523" s="2" t="str">
        <f>IFERROR(__xludf.DUMMYFUNCTION("GOOGLETRANSLATE(A523, ""yo"", ""en"")"),"A fake letter in which Muhammed said that he refused to accept the position that Tinubu appointed him was spread on the internet before he came and said that the letter was a big lie.")</f>
        <v>A fake letter in which Muhammed said that he refused to accept the position that Tinubu appointed him was spread on the internet before he came and said that the letter was a big lie.</v>
      </c>
    </row>
    <row r="524" ht="15.75" customHeight="1">
      <c r="A524" s="2" t="s">
        <v>573</v>
      </c>
      <c r="B524" s="2" t="str">
        <f>IFERROR(__xludf.DUMMYFUNCTION("GOOGLETRANSLATE(A524, ""yo"", ""en"")"),"Mr. Muhammed explained in a press release that the news that he refused to accept the position that Tinubu appointed him is a lie that is far from the truth.")</f>
        <v>Mr. Muhammed explained in a press release that the news that he refused to accept the position that Tinubu appointed him is a lie that is far from the truth.</v>
      </c>
    </row>
    <row r="525" ht="15.75" customHeight="1">
      <c r="A525" s="2" t="s">
        <v>574</v>
      </c>
      <c r="B525" s="2" t="str">
        <f>IFERROR(__xludf.DUMMYFUNCTION("GOOGLETRANSLATE(A525, ""yo"", ""en"")"),"The disaster of BBC News Yoruba news on your WhatsApp Join us at the end of podcast promotion Muhammed, those who are spreading this news are trying to mislead the people, and they are also trying to criticize the Tinubu government that is out there so th"&amp;"at they keep spreading fake news on the internet.")</f>
        <v>The disaster of BBC News Yoruba news on your WhatsApp Join us at the end of podcast promotion Muhammed, those who are spreading this news are trying to mislead the people, and they are also trying to criticize the Tinubu government that is out there so that they keep spreading fake news on the internet.</v>
      </c>
    </row>
    <row r="526" ht="15.75" customHeight="1">
      <c r="A526" s="2" t="s">
        <v>575</v>
      </c>
      <c r="B526" s="2" t="str">
        <f>IFERROR(__xludf.DUMMYFUNCTION("GOOGLETRANSLATE(A526, ""yo"", ""en"")"),"Babangida's son confirmed it in the press that he sent saying that he ""Muhammed accepted the position that President Tinubu appointed him as the chairman of the bank that is looking at the plant system."" Muhammed also said in the press that he appreciat"&amp;"es the position that President Tinubu appointed him to, and said that he is very grateful to Tinubu for the faith he has in him.")</f>
        <v>Babangida's son confirmed it in the press that he sent saying that he "Muhammed accepted the position that President Tinubu appointed him as the chairman of the bank that is looking at the plant system." Muhammed also said in the press that he appreciates the position that President Tinubu appointed him to, and said that he is very grateful to Tinubu for the faith he has in him.</v>
      </c>
    </row>
    <row r="527" ht="15.75" customHeight="1">
      <c r="A527" s="2" t="s">
        <v>576</v>
      </c>
      <c r="B527" s="2" t="str">
        <f>IFERROR(__xludf.DUMMYFUNCTION("GOOGLETRANSLATE(A527, ""yo"", ""en"")"),"Babangida's son also said in the publication that he published that all those who are spreading gossip will ignore the law.")</f>
        <v>Babangida's son also said in the publication that he published that all those who are spreading gossip will ignore the law.</v>
      </c>
    </row>
    <row r="528" ht="15.75" customHeight="1">
      <c r="A528" s="2" t="s">
        <v>577</v>
      </c>
      <c r="B528" s="2" t="str">
        <f>IFERROR(__xludf.DUMMYFUNCTION("GOOGLETRANSLATE(A528, ""yo"", ""en"")"),"He said they will conduct a brief investigation to find out who is responsible for the news, and all of them will be punished.")</f>
        <v>He said they will conduct a brief investigation to find out who is responsible for the news, and all of them will be punished.</v>
      </c>
    </row>
    <row r="529" ht="15.75" customHeight="1">
      <c r="A529" s="2" t="s">
        <v>578</v>
      </c>
      <c r="B529" s="2" t="str">
        <f>IFERROR(__xludf.DUMMYFUNCTION("GOOGLETRANSLATE(A529, ""yo"", ""en"")"),"In the same way, Muhammed also urged Nigerians to research and check the news they see on the internet before they believe it.")</f>
        <v>In the same way, Muhammed also urged Nigerians to research and check the news they see on the internet before they believe it.</v>
      </c>
    </row>
    <row r="530" ht="15.75" customHeight="1">
      <c r="A530" s="2" t="s">
        <v>579</v>
      </c>
      <c r="B530" s="2" t="str">
        <f>IFERROR(__xludf.DUMMYFUNCTION("GOOGLETRANSLATE(A530, ""yo"", ""en"")"),"The appointment of Muhammed Babangida is one of the various positions that Tinubu has appointed people to on alerting federal agencies.")</f>
        <v>The appointment of Muhammed Babangida is one of the various positions that Tinubu has appointed people to on alerting federal agencies.</v>
      </c>
    </row>
    <row r="531" ht="15.75" customHeight="1">
      <c r="A531" s="2" t="s">
        <v>580</v>
      </c>
      <c r="B531" s="2" t="str">
        <f>IFERROR(__xludf.DUMMYFUNCTION("GOOGLETRANSLATE(A531, ""yo"", ""en"")"),"The council's spokesperson, Yemi Adaramodu, described the news as shocking and confusing.")</f>
        <v>The council's spokesperson, Yemi Adaramodu, described the news as shocking and confusing.</v>
      </c>
    </row>
    <row r="532" ht="15.75" customHeight="1">
      <c r="A532" s="2" t="s">
        <v>581</v>
      </c>
      <c r="B532" s="2" t="str">
        <f>IFERROR(__xludf.DUMMYFUNCTION("GOOGLETRANSLATE(A532, ""yo"", ""en"")"),"Adaramodu explained to BBC News Pidgin, that ""The joint parliament alone cannot stop the release of the states, and the proposal must also take a more comprehensive approach for legal reform.")</f>
        <v>Adaramodu explained to BBC News Pidgin, that "The joint parliament alone cannot stop the release of the states, and the proposal must also take a more comprehensive approach for legal reform.</v>
      </c>
    </row>
    <row r="533" ht="15.75" customHeight="1">
      <c r="A533" s="2" t="s">
        <v>582</v>
      </c>
      <c r="B533" s="2" t="str">
        <f>IFERROR(__xludf.DUMMYFUNCTION("GOOGLETRANSLATE(A533, ""yo"", ""en"")"),"However, public hearings will be included in the program.")</f>
        <v>However, public hearings will be included in the program.</v>
      </c>
    </row>
    <row r="534" ht="15.75" customHeight="1">
      <c r="A534" s="2" t="s">
        <v>583</v>
      </c>
      <c r="B534" s="2" t="str">
        <f>IFERROR(__xludf.DUMMYFUNCTION("GOOGLETRANSLATE(A534, ""yo"", ""en"")"),"Similarly, Adaramodu said that in order to create a new state, two thirds of the members of parliament of the states must sign it.")</f>
        <v>Similarly, Adaramodu said that in order to create a new state, two thirds of the members of parliament of the states must sign it.</v>
      </c>
    </row>
    <row r="535" ht="15.75" customHeight="1">
      <c r="A535" s="2" t="s">
        <v>584</v>
      </c>
      <c r="B535" s="2" t="str">
        <f>IFERROR(__xludf.DUMMYFUNCTION("GOOGLETRANSLATE(A535, ""yo"", ""en"")"),"If you forget, this month of February 2025, the House of Representatives announced that they accepted a proposal calling for the creation of thirty-one states, which will be new on this earth.")</f>
        <v>If you forget, this month of February 2025, the House of Representatives announced that they accepted a proposal calling for the creation of thirty-one states, which will be new on this earth.</v>
      </c>
    </row>
    <row r="536" ht="15.75" customHeight="1">
      <c r="A536" s="2" t="s">
        <v>585</v>
      </c>
      <c r="B536" s="2" t="str">
        <f>IFERROR(__xludf.DUMMYFUNCTION("GOOGLETRANSLATE(A536, ""yo"", ""en"")"),"He said this will come from the Central North, four will come from the North-East, five from the North-West, five from the South-East, four from the South-South and seven from the South-West.")</f>
        <v>He said this will come from the Central North, four will come from the North-East, five from the North-West, five from the South-East, four from the South-South and seven from the South-West.</v>
      </c>
    </row>
    <row r="537" ht="15.75" customHeight="1">
      <c r="A537" s="2" t="s">
        <v>586</v>
      </c>
      <c r="B537" s="2" t="str">
        <f>IFERROR(__xludf.DUMMYFUNCTION("GOOGLETRANSLATE(A387, ""yo"", ""en"")"),"If you don't forget, the Ko-temi-lonon court judgment handed down in Akure, Ondo state, caused the closure.")</f>
        <v>If you don't forget, the Ko-temi-lonon court judgment handed down in Akure, Ondo state, caused the closure.</v>
      </c>
    </row>
    <row r="538" ht="15.75" customHeight="1">
      <c r="A538" s="2" t="s">
        <v>587</v>
      </c>
      <c r="B538" s="2" t="str">
        <f>IFERROR(__xludf.DUMMYFUNCTION("GOOGLETRANSLATE(A538, ""yo"", ""en"")"),"Article eight of the Nigerian constitution leaves room for the creation of a new state.")</f>
        <v>Article eight of the Nigerian constitution leaves room for the creation of a new state.</v>
      </c>
    </row>
    <row r="539" ht="15.75" customHeight="1">
      <c r="A539" s="2" t="s">
        <v>588</v>
      </c>
      <c r="B539" s="2" t="str">
        <f>IFERROR(__xludf.DUMMYFUNCTION("GOOGLETRANSLATE(A539, ""yo"", ""en"")"),"First, at least two-thirds of those asking for a new state must sign the proposal, that is, those who represent the state in the Legislative Council and the House of Representatives.")</f>
        <v>First, at least two-thirds of those asking for a new state must sign the proposal, that is, those who represent the state in the Legislative Council and the House of Representatives.</v>
      </c>
    </row>
    <row r="540" ht="15.75" customHeight="1">
      <c r="A540" s="2" t="s">
        <v>589</v>
      </c>
      <c r="B540" s="2" t="str">
        <f>IFERROR(__xludf.DUMMYFUNCTION("GOOGLETRANSLATE(A540, ""yo"", ""en"")"),"After that, they will consider the proposal with a vote, at least two percent of the representatives of those asking for a new state will vote, and they will say that they really want a new state.")</f>
        <v>After that, they will consider the proposal with a vote, at least two percent of the representatives of those asking for a new state will vote, and they will say that they really want a new state.</v>
      </c>
    </row>
    <row r="541" ht="15.75" customHeight="1">
      <c r="A541" s="2" t="s">
        <v>590</v>
      </c>
      <c r="B541" s="2" t="str">
        <f>IFERROR(__xludf.DUMMYFUNCTION("GOOGLETRANSLATE(A541, ""yo"", ""en"")"),"After this, some from the state will shake hands with him, and some from the House of Representatives will shake hands with him.")</f>
        <v>After this, some from the state will shake hands with him, and some from the House of Representatives will shake hands with him.</v>
      </c>
    </row>
    <row r="542" ht="15.75" customHeight="1">
      <c r="A542" s="2" t="s">
        <v>591</v>
      </c>
      <c r="B542" s="2" t="str">
        <f>IFERROR(__xludf.DUMMYFUNCTION("GOOGLETRANSLATE(A542, ""yo"", ""en"")"),"The last step is to have two thirds of the representatives of both houses sign it.")</f>
        <v>The last step is to have two thirds of the representatives of both houses sign it.</v>
      </c>
    </row>
    <row r="543" ht="15.75" customHeight="1">
      <c r="A543" s="2" t="s">
        <v>592</v>
      </c>
      <c r="B543" s="2" t="str">
        <f>IFERROR(__xludf.DUMMYFUNCTION("GOOGLETRANSLATE(A543, ""yo"", ""en"")"),"BBC News Yoruba news on your WhatsApp Join us here End of podcast promotion NORTH-CENTRAL BENUE STATE, from Benue.")</f>
        <v>BBC News Yoruba news on your WhatsApp Join us here End of podcast promotion NORTH-CENTRAL BENUE STATE, from Benue.</v>
      </c>
    </row>
    <row r="544" ht="15.75" customHeight="1">
      <c r="A544" s="2" t="s">
        <v>593</v>
      </c>
      <c r="B544" s="2" t="str">
        <f>IFERROR(__xludf.DUMMYFUNCTION("GOOGLETRANSLATE(A544, ""yo"", ""en"")"),"OKUN State, from Kogi.")</f>
        <v>OKUN State, from Kogi.</v>
      </c>
    </row>
    <row r="545" ht="15.75" customHeight="1">
      <c r="A545" s="2" t="s">
        <v>594</v>
      </c>
      <c r="B545" s="2" t="str">
        <f>IFERROR(__xludf.DUMMYFUNCTION("GOOGLETRANSLATE(A545, ""yo"", ""en"")"),"OKURA State, from Kogi CONFLUENCE State, from Kogi.")</f>
        <v>OKURA State, from Kogi CONFLUENCE State, from Kogi.</v>
      </c>
    </row>
    <row r="546" ht="15.75" customHeight="1">
      <c r="A546" s="2" t="s">
        <v>595</v>
      </c>
      <c r="B546" s="2" t="str">
        <f>IFERROR(__xludf.DUMMYFUNCTION("GOOGLETRANSLATE(A546, ""yo"", ""en"")"),"APA-AGBA State, from South Benue (South Senatorial District).")</f>
        <v>APA-AGBA State, from South Benue (South Senatorial District).</v>
      </c>
    </row>
    <row r="547" ht="15.75" customHeight="1">
      <c r="A547" s="2" t="s">
        <v>596</v>
      </c>
      <c r="B547" s="2" t="str">
        <f>IFERROR(__xludf.DUMMYFUNCTION("GOOGLETRANSLATE(A547, ""yo"", ""en"")"),"APA State, from Benue.")</f>
        <v>APA State, from Benue.</v>
      </c>
    </row>
    <row r="548" ht="15.75" customHeight="1">
      <c r="A548" s="2" t="s">
        <v>597</v>
      </c>
      <c r="B548" s="2" t="str">
        <f>IFERROR(__xludf.DUMMYFUNCTION("GOOGLETRANSLATE(A548, ""yo"", ""en"")"),"The thirty-seventh state that they will call the capital of our country, Abuja.")</f>
        <v>The thirty-seventh state that they will call the capital of our country, Abuja.</v>
      </c>
    </row>
    <row r="549" ht="15.75" customHeight="1">
      <c r="A549" s="2" t="s">
        <v>598</v>
      </c>
      <c r="B549" s="2" t="str">
        <f>IFERROR(__xludf.DUMMYFUNCTION("GOOGLETRANSLATE(A549, ""yo"", ""en"")"),"North-East (NORTH-EAST) AMANA State, from Adamawa.")</f>
        <v>North-East (NORTH-EAST) AMANA State, from Adamawa.</v>
      </c>
    </row>
    <row r="550" ht="15.75" customHeight="1">
      <c r="A550" s="2" t="s">
        <v>599</v>
      </c>
      <c r="B550" s="2" t="str">
        <f>IFERROR(__xludf.DUMMYFUNCTION("GOOGLETRANSLATE(A550, ""yo"", ""en"")"),"KATAGUM State, from Bauchi SAVANNAH State, from Borno.")</f>
        <v>KATAGUM State, from Bauchi SAVANNAH State, from Borno.</v>
      </c>
    </row>
    <row r="551" ht="15.75" customHeight="1">
      <c r="A551" s="2" t="s">
        <v>600</v>
      </c>
      <c r="B551" s="2" t="str">
        <f>IFERROR(__xludf.DUMMYFUNCTION("GOOGLETRANSLATE(A551, ""yo"", ""en"")"),"MURI State, from Taraba.")</f>
        <v>MURI State, from Taraba.</v>
      </c>
    </row>
    <row r="552" ht="15.75" customHeight="1">
      <c r="A552" s="2" t="s">
        <v>601</v>
      </c>
      <c r="B552" s="2" t="str">
        <f>IFERROR(__xludf.DUMMYFUNCTION("GOOGLETRANSLATE(A552, ""yo"", ""en"")"),"North- West (NORTH-WEST) NEW KADUNA STATE and GURARA state from Kaduna.")</f>
        <v>North- West (NORTH-WEST) NEW KADUNA STATE and GURARA state from Kaduna.</v>
      </c>
    </row>
    <row r="553" ht="15.75" customHeight="1">
      <c r="A553" s="2" t="s">
        <v>602</v>
      </c>
      <c r="B553" s="2" t="str">
        <f>IFERROR(__xludf.DUMMYFUNCTION("GOOGLETRANSLATE(A553, ""yo"", ""en"")"),"TIGA State from Kano.")</f>
        <v>TIGA State from Kano.</v>
      </c>
    </row>
    <row r="554" ht="15.75" customHeight="1">
      <c r="A554" s="2" t="s">
        <v>603</v>
      </c>
      <c r="B554" s="2" t="str">
        <f>IFERROR(__xludf.DUMMYFUNCTION("GOOGLETRANSLATE(A554, ""yo"", ""en"")"),"KAINJI State from Kebbi.")</f>
        <v>KAINJI State from Kebbi.</v>
      </c>
    </row>
    <row r="555" ht="15.75" customHeight="1">
      <c r="A555" s="2" t="s">
        <v>604</v>
      </c>
      <c r="B555" s="2" t="str">
        <f>IFERROR(__xludf.DUMMYFUNCTION("GOOGLETRANSLATE(A555, ""yo"", ""en"")"),"GHARI State from Kano South-East (SOUTH-EAST) ETITI State, which will be the sixth from this region.")</f>
        <v>GHARI State from Kano South-East (SOUTH-EAST) ETITI State, which will be the sixth from this region.</v>
      </c>
    </row>
    <row r="556" ht="15.75" customHeight="1">
      <c r="A556" s="2" t="s">
        <v>605</v>
      </c>
      <c r="B556" s="2" t="str">
        <f>IFERROR(__xludf.DUMMYFUNCTION("GOOGLETRANSLATE(A556, ""yo"", ""en"")"),"ADADA State, from Enugu.")</f>
        <v>ADADA State, from Enugu.</v>
      </c>
    </row>
    <row r="557" ht="15.75" customHeight="1">
      <c r="A557" s="2" t="s">
        <v>606</v>
      </c>
      <c r="B557" s="2" t="str">
        <f>IFERROR(__xludf.DUMMYFUNCTION("GOOGLETRANSLATE(A557, ""yo"", ""en"")"),"URASHI STATE from the South-East.")</f>
        <v>URASHI STATE from the South-East.</v>
      </c>
    </row>
    <row r="558" ht="15.75" customHeight="1">
      <c r="A558" s="2" t="s">
        <v>607</v>
      </c>
      <c r="B558" s="2" t="str">
        <f>IFERROR(__xludf.DUMMYFUNCTION("GOOGLETRANSLATE(A558, ""yo"", ""en"")"),"ORLU State from South-Eastern Nigeria.")</f>
        <v>ORLU State from South-Eastern Nigeria.</v>
      </c>
    </row>
    <row r="559" ht="15.75" customHeight="1">
      <c r="A559" s="2" t="s">
        <v>608</v>
      </c>
      <c r="B559" s="2" t="str">
        <f>IFERROR(__xludf.DUMMYFUNCTION("GOOGLETRANSLATE(A559, ""yo"", ""en"")"),"ABA State, from South-Eastern Nigeria.")</f>
        <v>ABA State, from South-Eastern Nigeria.</v>
      </c>
    </row>
    <row r="560" ht="15.75" customHeight="1">
      <c r="A560" s="2" t="s">
        <v>609</v>
      </c>
      <c r="B560" s="2" t="str">
        <f>IFERROR(__xludf.DUMMYFUNCTION("GOOGLETRANSLATE(A560, ""yo"", ""en"")"),"South-South (SOUTH-SOUTH) OGOJA State, from Cross River.")</f>
        <v>South-South (SOUTH-SOUTH) OGOJA State, from Cross River.</v>
      </c>
    </row>
    <row r="561" ht="15.75" customHeight="1">
      <c r="A561" s="2" t="s">
        <v>610</v>
      </c>
      <c r="B561" s="2" t="str">
        <f>IFERROR(__xludf.DUMMYFUNCTION("GOOGLETRANSLATE(A561, ""yo"", ""en"")"),"WARRI STATE, from Delta.")</f>
        <v>WARRI STATE, from Delta.</v>
      </c>
    </row>
    <row r="562" ht="15.75" customHeight="1">
      <c r="A562" s="2" t="s">
        <v>611</v>
      </c>
      <c r="B562" s="2" t="str">
        <f>IFERROR(__xludf.DUMMYFUNCTION("GOOGLETRANSLATE(A562, ""yo"", ""en"")"),"BORI State, from Rivers.")</f>
        <v>BORI State, from Rivers.</v>
      </c>
    </row>
    <row r="563" ht="15.75" customHeight="1">
      <c r="A563" s="2" t="s">
        <v>612</v>
      </c>
      <c r="B563" s="2" t="str">
        <f>IFERROR(__xludf.DUMMYFUNCTION("GOOGLETRANSLATE(A563, ""yo"", ""en"")"),"OBOLO State, from Rivers and Akwa Ibom.")</f>
        <v>OBOLO State, from Rivers and Akwa Ibom.</v>
      </c>
    </row>
    <row r="564" ht="15.75" customHeight="1">
      <c r="A564" s="2" t="s">
        <v>613</v>
      </c>
      <c r="B564" s="2" t="str">
        <f>IFERROR(__xludf.DUMMYFUNCTION("GOOGLETRANSLATE(A564, ""yo"", ""en"")"),"South-East (SOUTH-WEST) TORU-EBE State, from Delta, Edo, and Ondo.")</f>
        <v>South-East (SOUTH-WEST) TORU-EBE State, from Delta, Edo, and Ondo.</v>
      </c>
    </row>
    <row r="565" ht="15.75" customHeight="1">
      <c r="A565" s="2" t="s">
        <v>614</v>
      </c>
      <c r="B565" s="2" t="str">
        <f>IFERROR(__xludf.DUMMYFUNCTION("GOOGLETRANSLATE(A565, ""yo"", ""en"")"),"IBADAN State, from Oyo.")</f>
        <v>IBADAN State, from Oyo.</v>
      </c>
    </row>
    <row r="566" ht="15.75" customHeight="1">
      <c r="A566" s="2" t="s">
        <v>615</v>
      </c>
      <c r="B566" s="2" t="str">
        <f>IFERROR(__xludf.DUMMYFUNCTION("GOOGLETRANSLATE(A566, ""yo"", ""en"")"),"LAGOON State, from Lagos.")</f>
        <v>LAGOON State, from Lagos.</v>
      </c>
    </row>
    <row r="567" ht="15.75" customHeight="1">
      <c r="A567" s="2" t="s">
        <v>616</v>
      </c>
      <c r="B567" s="2" t="str">
        <f>IFERROR(__xludf.DUMMYFUNCTION("GOOGLETRANSLATE(A567, ""yo"", ""en"")"),"IJEBU State, from Ogun.")</f>
        <v>IJEBU State, from Ogun.</v>
      </c>
    </row>
    <row r="568" ht="15.75" customHeight="1">
      <c r="A568" s="2" t="s">
        <v>617</v>
      </c>
      <c r="B568" s="2" t="str">
        <f>IFERROR(__xludf.DUMMYFUNCTION("GOOGLETRANSLATE(A568, ""yo"", ""en"")"),"OKE-OGUN State, from Oyo.")</f>
        <v>OKE-OGUN State, from Oyo.</v>
      </c>
    </row>
    <row r="569" ht="15.75" customHeight="1">
      <c r="A569" s="2" t="s">
        <v>618</v>
      </c>
      <c r="B569" s="2" t="str">
        <f>IFERROR(__xludf.DUMMYFUNCTION("GOOGLETRANSLATE(A569, ""yo"", ""en"")"),"IFE-IJESHA State, from Oyo and Osun.")</f>
        <v>IFE-IJESHA State, from Oyo and Osun.</v>
      </c>
    </row>
    <row r="570" ht="15.75" customHeight="1">
      <c r="A570" s="2" t="s">
        <v>619</v>
      </c>
      <c r="B570" s="2" t="str">
        <f>IFERROR(__xludf.DUMMYFUNCTION("GOOGLETRANSLATE(A570, ""yo"", ""en"")"),"According to Omwe Bello Maisudan, a professor of politics at Bayero University, Kano, said, Nigeria does not need a new state.")</f>
        <v>According to Omwe Bello Maisudan, a professor of politics at Bayero University, Kano, said, Nigeria does not need a new state.</v>
      </c>
    </row>
    <row r="571" ht="15.75" customHeight="1">
      <c r="A571" s="2" t="s">
        <v>620</v>
      </c>
      <c r="B571" s="2" t="str">
        <f>IFERROR(__xludf.DUMMYFUNCTION("GOOGLETRANSLATE(A571, ""yo"", ""en"")"),"Scholar Maisudan explained that there are four things that the creation of a new state should be based on.")</f>
        <v>Scholar Maisudan explained that there are four things that the creation of a new state should be based on.</v>
      </c>
    </row>
    <row r="572" ht="15.75" customHeight="1">
      <c r="A572" s="2" t="s">
        <v>621</v>
      </c>
      <c r="B572" s="2" t="str">
        <f>IFERROR(__xludf.DUMMYFUNCTION("GOOGLETRANSLATE(A572, ""yo"", ""en"")"),"The things and how to count them are: The question for him, how many people there are in an area, how much land they have and how much they can stop according to the state.")</f>
        <v>The things and how to count them are: The question for him, how many people there are in an area, how much land they have and how much they can stop according to the state.</v>
      </c>
    </row>
    <row r="573" ht="15.75" customHeight="1">
      <c r="A573" s="2" t="s">
        <v>622</v>
      </c>
      <c r="B573" s="2" t="str">
        <f>IFERROR(__xludf.DUMMYFUNCTION("GOOGLETRANSLATE(A573, ""yo"", ""en"")"),"Regarding the request for a new state, Scholar Maisudan explained that people can request a new state, if they see that there are more tribes than them dominating them.")</f>
        <v>Regarding the request for a new state, Scholar Maisudan explained that people can request a new state, if they see that there are more tribes than them dominating them.</v>
      </c>
    </row>
    <row r="574" ht="15.75" customHeight="1">
      <c r="A574" s="2" t="s">
        <v>623</v>
      </c>
      <c r="B574" s="2" t="str">
        <f>IFERROR(__xludf.DUMMYFUNCTION("GOOGLETRANSLATE(A574, ""yo"", ""en"")"),"An example of this is Nasarawa state which was removed from Plateau, and Bayelsa which was removed from Rivers state.")</f>
        <v>An example of this is Nasarawa state which was removed from Plateau, and Bayelsa which was removed from Rivers state.</v>
      </c>
    </row>
    <row r="575" ht="15.75" customHeight="1">
      <c r="A575" s="2" t="s">
        <v>624</v>
      </c>
      <c r="B575" s="2" t="str">
        <f>IFERROR(__xludf.DUMMYFUNCTION("GOOGLETRANSLATE(A575, ""yo"", ""en"")"),"As for how many they are and the number of people who are asking for a new state, you must face it.")</f>
        <v>As for how many they are and the number of people who are asking for a new state, you must face it.</v>
      </c>
    </row>
    <row r="576" ht="15.75" customHeight="1">
      <c r="A576" s="2" t="s">
        <v>625</v>
      </c>
      <c r="B576" s="2" t="str">
        <f>IFERROR(__xludf.DUMMYFUNCTION("GOOGLETRANSLATE(A576, ""yo"", ""en"")"),"They must be able to stop about money, so that they don't have to wait for the federal government to listen to their needs.")</f>
        <v>They must be able to stop about money, so that they don't have to wait for the federal government to listen to their needs.</v>
      </c>
    </row>
    <row r="577" ht="15.75" customHeight="1">
      <c r="A577" s="2" t="s">
        <v>626</v>
      </c>
      <c r="B577" s="2" t="str">
        <f>IFERROR(__xludf.DUMMYFUNCTION("GOOGLETRANSLATE(A577, ""yo"", ""en"")"),"""If you look at the thirty-six (36) states we have now, how many of them can believe in themselves without waiting for the government.?"" This is what Scholar Maisudan asked, ""In my opinion, if we are going to add more states, it should not be more than"&amp;" five.""")</f>
        <v>"If you look at the thirty-six (36) states we have now, how many of them can believe in themselves without waiting for the government.?" This is what Scholar Maisudan asked, "In my opinion, if we are going to add more states, it should not be more than five."</v>
      </c>
    </row>
    <row r="578" ht="15.75" customHeight="1">
      <c r="A578" s="2" t="s">
        <v>627</v>
      </c>
      <c r="B578" s="2" t="str">
        <f>IFERROR(__xludf.DUMMYFUNCTION("GOOGLETRANSLATE(A578, ""yo"", ""en"")"),"You can cause some people to ask for secession from the country as well, the trouble is more than the benefit as Maisudan also said.")</f>
        <v>You can cause some people to ask for secession from the country as well, the trouble is more than the benefit as Maisudan also said.</v>
      </c>
    </row>
    <row r="579" ht="15.75" customHeight="1">
      <c r="A579" s="2" t="s">
        <v>628</v>
      </c>
      <c r="B579" s="2" t="str">
        <f>IFERROR(__xludf.DUMMYFUNCTION("GOOGLETRANSLATE(A579, ""yo"", ""en"")"),"The request to dismiss this case was made on the 4th of July 2025, and was accepted on Evidence Day, the 18th of July 2025.")</f>
        <v>The request to dismiss this case was made on the 4th of July 2025, and was accepted on Evidence Day, the 18th of July 2025.</v>
      </c>
    </row>
    <row r="580" ht="15.75" customHeight="1">
      <c r="A580" s="2" t="s">
        <v>629</v>
      </c>
      <c r="B580" s="2" t="str">
        <f>IFERROR(__xludf.DUMMYFUNCTION("GOOGLETRANSLATE(A580, ""yo"", ""en"")"),"When the question was raised, the defendant's lawyer, Kanu Agabi, SAN explained to the court why they called for the dismissal of the case.")</f>
        <v>When the question was raised, the defendant's lawyer, Kanu Agabi, SAN explained to the court why they called for the dismissal of the case.</v>
      </c>
    </row>
    <row r="581" ht="15.75" customHeight="1">
      <c r="A581" s="2" t="s">
        <v>630</v>
      </c>
      <c r="B581" s="2" t="str">
        <f>IFERROR(__xludf.DUMMYFUNCTION("GOOGLETRANSLATE(A581, ""yo"", ""en"")"),"He said; While responding, Adegboyega Awomolo, SAN, the prosecuting attorney called five witnesses on the trial, and called evidence tok say di prosecution don call five witnesses wey dem use prove evri element for di case.")</f>
        <v>He said; While responding, Adegboyega Awomolo, SAN, the prosecuting attorney called five witnesses on the trial, and called evidence tok say di prosecution don call five witnesses wey dem use prove evri element for di case.</v>
      </c>
    </row>
    <row r="582" ht="15.75" customHeight="1">
      <c r="A582" s="2" t="s">
        <v>631</v>
      </c>
      <c r="B582" s="2" t="str">
        <f>IFERROR(__xludf.DUMMYFUNCTION("GOOGLETRANSLATE(A582, ""yo"", ""en"")"),"He said Kanu was granted bail from 2017 to 2022 but the court was not in custody because of public safety.")</f>
        <v>He said Kanu was granted bail from 2017 to 2022 but the court was not in custody because of public safety.</v>
      </c>
    </row>
    <row r="583" ht="15.75" customHeight="1">
      <c r="A583" s="2" t="s">
        <v>632</v>
      </c>
      <c r="B583" s="2" t="str">
        <f>IFERROR(__xludf.DUMMYFUNCTION("GOOGLETRANSLATE(A583, ""yo"", ""en"")"),"It was Mr. Chukwuma who explained this matter to Punch newspaper that year, and slammed the government on how they brought Kanu back, after he had already fled when they first arrested him.")</f>
        <v>It was Mr. Chukwuma who explained this matter to Punch newspaper that year, and slammed the government on how they brought Kanu back, after he had already fled when they first arrested him.</v>
      </c>
    </row>
    <row r="584" ht="15.75" customHeight="1">
      <c r="A584" s="2" t="s">
        <v>633</v>
      </c>
      <c r="B584" s="2" t="str">
        <f>IFERROR(__xludf.DUMMYFUNCTION("GOOGLETRANSLATE(A584, ""yo"", ""en"")"),"""When he was overseas, he was using IPOB members in Igbo to start a conflict."" Kanu was accused by the Nigerian government of conspiracy against the government, embezzlement and other charges.")</f>
        <v>"When he was overseas, he was using IPOB members in Igbo to start a conflict." Kanu was accused by the Nigerian government of conspiracy against the government, embezzlement and other charges.</v>
      </c>
    </row>
    <row r="585" ht="15.75" customHeight="1">
      <c r="A585" s="2" t="s">
        <v>634</v>
      </c>
      <c r="B585" s="2" t="str">
        <f>IFERROR(__xludf.DUMMYFUNCTION("GOOGLETRANSLATE(A585, ""yo"", ""en"")"),"Although he said he is not guilty, the government lawyers said they are ready to continue with the case. It has been four years since Nnamdi Kanu's trial. In 2022, the Federal High Court in Umuahia, Abia state, ordered the DSS spy agency not to pay one bi"&amp;"llion Naira to Nnamadi Kanu as compensation for his house that was attacked by the organization in Iaiama Afaraukwu last September. 2017.")</f>
        <v>Although he said he is not guilty, the government lawyers said they are ready to continue with the case. It has been four years since Nnamdi Kanu's trial. In 2022, the Federal High Court in Umuahia, Abia state, ordered the DSS spy agency not to pay one billion Naira to Nnamadi Kanu as compensation for his house that was attacked by the organization in Iaiama Afaraukwu last September. 2017.</v>
      </c>
    </row>
    <row r="586" ht="15.75" customHeight="1">
      <c r="A586" s="2" t="s">
        <v>635</v>
      </c>
      <c r="B586" s="2" t="str">
        <f>IFERROR(__xludf.DUMMYFUNCTION("GOOGLETRANSLATE(A586, ""yo"", ""en"")"),"At the hearing, Justice Benson Anya also told the federal government of Nigeria that it must write a petition against Kanu in three newspapers over the attack.")</f>
        <v>At the hearing, Justice Benson Anya also told the federal government of Nigeria that it must write a petition against Kanu in three newspapers over the attack.</v>
      </c>
    </row>
    <row r="587" ht="15.75" customHeight="1">
      <c r="A587" s="2" t="s">
        <v>636</v>
      </c>
      <c r="B587" s="2" t="str">
        <f>IFERROR(__xludf.DUMMYFUNCTION("GOOGLETRANSLATE(A587, ""yo"", ""en"")"),"In another trial that was held on the charges brought against Nnamdi Kanu by the Nigerian government, which was also held in Abuja, Kanu said that he is not guilty of the charges brought against him by the government.")</f>
        <v>In another trial that was held on the charges brought against Nnamdi Kanu by the Nigerian government, which was also held in Abuja, Kanu said that he is not guilty of the charges brought against him by the government.</v>
      </c>
    </row>
    <row r="588" ht="15.75" customHeight="1">
      <c r="A588" s="2" t="s">
        <v>637</v>
      </c>
      <c r="B588" s="2" t="str">
        <f>IFERROR(__xludf.DUMMYFUNCTION("GOOGLETRANSLATE(A388, ""yo"", ""en"")"),"But reports say that the salaries of local government officials and chairmen who have not had the opportunity to enter the office have not stopped since then.")</f>
        <v>But reports say that the salaries of local government officials and chairmen who have not had the opportunity to enter the office have not stopped since then.</v>
      </c>
    </row>
    <row r="589" ht="15.75" customHeight="1">
      <c r="A589" s="2" t="s">
        <v>638</v>
      </c>
      <c r="B589" s="2" t="str">
        <f>IFERROR(__xludf.DUMMYFUNCTION("GOOGLETRANSLATE(A589, ""yo"", ""en"")"),"He wrote the letter and sent it to the chairman of the PDP political party in Jada 1 ward, Jada local government of Adamawa state.")</f>
        <v>He wrote the letter and sent it to the chairman of the PDP political party in Jada 1 ward, Jada local government of Adamawa state.</v>
      </c>
    </row>
    <row r="590" ht="15.75" customHeight="1">
      <c r="A590" s="2" t="s">
        <v>639</v>
      </c>
      <c r="B590" s="2" t="str">
        <f>IFERROR(__xludf.DUMMYFUNCTION("GOOGLETRANSLATE(A590, ""yo"", ""en"")"),"Atiku said the reason why he is resigning from the party is not to end the verbal differences between him and the party.")</f>
        <v>Atiku said the reason why he is resigning from the party is not to end the verbal differences between him and the party.</v>
      </c>
    </row>
    <row r="591" ht="15.75" customHeight="1">
      <c r="A591" s="2" t="s">
        <v>640</v>
      </c>
      <c r="B591" s="2" t="str">
        <f>IFERROR(__xludf.DUMMYFUNCTION("GOOGLETRANSLATE(A591, ""yo"", ""en"")"),"Abubakar Atiku continued that it is necessary for him to join the party because of the conflicts that are happening in the party which is against the things it stands for.")</f>
        <v>Abubakar Atiku continued that it is necessary for him to join the party because of the conflicts that are happening in the party which is against the things it stands for.</v>
      </c>
    </row>
    <row r="592" ht="15.75" customHeight="1">
      <c r="A592" s="2" t="s">
        <v>641</v>
      </c>
      <c r="B592" s="2" t="str">
        <f>IFERROR(__xludf.DUMMYFUNCTION("GOOGLETRANSLATE(A592, ""yo"", ""en"")"),"""Being vice president for two consecutive terms and being a presidential candidate for two terms are important things in my life.")</f>
        <v>"Being vice president for two consecutive terms and being a presidential candidate for two terms are important things in my life.</v>
      </c>
    </row>
    <row r="593" ht="15.75" customHeight="1">
      <c r="A593" s="2" t="s">
        <v>642</v>
      </c>
      <c r="B593" s="2" t="str">
        <f>IFERROR(__xludf.DUMMYFUNCTION("GOOGLETRANSLATE(A593, ""yo"", ""en"")"),"As one of the founders of this party, it is heartbreaking for me to make this decision."" BBC News Yoruba news on your WhatsApp Join us at End of podcast promotion On Thursday morning, the 17th of July, another PDP political party member, Dele Momodu resi"&amp;"gned as a member. PDP politician.")</f>
        <v>As one of the founders of this party, it is heartbreaking for me to make this decision." BBC News Yoruba news on your WhatsApp Join us at End of podcast promotion On Thursday morning, the 17th of July, another PDP political party member, Dele Momodu resigned as a member. PDP politician.</v>
      </c>
    </row>
    <row r="594" ht="15.75" customHeight="1">
      <c r="A594" s="2" t="s">
        <v>643</v>
      </c>
      <c r="B594" s="2" t="str">
        <f>IFERROR(__xludf.DUMMYFUNCTION("GOOGLETRANSLATE(A594, ""yo"", ""en"")"),"Dele Momodu in his letter alleges that some people who are working against the Awawara government have taken control of the political party.")</f>
        <v>Dele Momodu in his letter alleges that some people who are working against the Awawara government have taken control of the political party.</v>
      </c>
    </row>
    <row r="595" ht="15.75" customHeight="1">
      <c r="A595" s="2" t="s">
        <v>644</v>
      </c>
      <c r="B595" s="2" t="str">
        <f>IFERROR(__xludf.DUMMYFUNCTION("GOOGLETRANSLATE(A595, ""yo"", ""en"")"),"Against Atiku who has not announced the political party he wants to join, Momodu said he has joined the African Democratic Congress, ADC.")</f>
        <v>Against Atiku who has not announced the political party he wants to join, Momodu said he has joined the African Democratic Congress, ADC.</v>
      </c>
    </row>
    <row r="596" ht="15.75" customHeight="1">
      <c r="A596" s="2" t="s">
        <v>645</v>
      </c>
      <c r="B596" s="2" t="str">
        <f>IFERROR(__xludf.DUMMYFUNCTION("GOOGLETRANSLATE(A596, ""yo"", ""en"")"),"Momodu who joined the PDP political party in 2021 and bought a ticket to replace the president for the party in 2022 said that the letter immediately left the party.")</f>
        <v>Momodu who joined the PDP political party in 2021 and bought a ticket to replace the president for the party in 2022 said that the letter immediately left the party.</v>
      </c>
    </row>
    <row r="597" ht="15.75" customHeight="1">
      <c r="A597" s="2" t="s">
        <v>646</v>
      </c>
      <c r="B597" s="2" t="str">
        <f>IFERROR(__xludf.DUMMYFUNCTION("GOOGLETRANSLATE(A597, ""yo"", ""en"")"),"Ever since the presidents of Bola Tinubu have been gathering themselves at the beginning of this year from the way they will take over the governance of Nigeria from the APC political party in 2027, each of them has been leaving their political party.")</f>
        <v>Ever since the presidents of Bola Tinubu have been gathering themselves at the beginning of this year from the way they will take over the governance of Nigeria from the APC political party in 2027, each of them has been leaving their political party.</v>
      </c>
    </row>
    <row r="598" ht="15.75" customHeight="1">
      <c r="A598" s="2" t="s">
        <v>647</v>
      </c>
      <c r="B598" s="2" t="str">
        <f>IFERROR(__xludf.DUMMYFUNCTION("GOOGLETRANSLATE(A598, ""yo"", ""en"")"),"Earlier, David Mark who was also a thorn in the political party announced that he has left the political party and joined the ADC political party.")</f>
        <v>Earlier, David Mark who was also a thorn in the political party announced that he has left the political party and joined the ADC political party.</v>
      </c>
    </row>
    <row r="599" ht="15.75" customHeight="1">
      <c r="A599" s="2" t="s">
        <v>648</v>
      </c>
      <c r="B599" s="2" t="str">
        <f>IFERROR(__xludf.DUMMYFUNCTION("GOOGLETRANSLATE(A599, ""yo"", ""en"")"),"On the day that the opposition party announced the ADC political party as the political party they will use in 2027 to oppose Tinubu, David Mark received a card as a member of the ADC and was appointed as the party's chairman.")</f>
        <v>On the day that the opposition party announced the ADC political party as the political party they will use in 2027 to oppose Tinubu, David Mark received a card as a member of the ADC and was appointed as the party's chairman.</v>
      </c>
    </row>
    <row r="600" ht="15.75" customHeight="1">
      <c r="A600" s="2" t="s">
        <v>649</v>
      </c>
      <c r="B600" s="2" t="str">
        <f>IFERROR(__xludf.DUMMYFUNCTION("GOOGLETRANSLATE(A600, ""yo"", ""en"")"),"Makinde, who is also the chairman of the southern region governors with the PDP political party, said that Atiku has silenced the party and has no influence in the party and that what is interesting is the political issue.")</f>
        <v>Makinde, who is also the chairman of the southern region governors with the PDP political party, said that Atiku has silenced the party and has no influence in the party and that what is interesting is the political issue.</v>
      </c>
    </row>
    <row r="601" ht="15.75" customHeight="1">
      <c r="A601" s="2" t="s">
        <v>650</v>
      </c>
      <c r="B601" s="2" t="str">
        <f>IFERROR(__xludf.DUMMYFUNCTION("GOOGLETRANSLATE(A601, ""yo"", ""en"")"),"He said the PDP political party leaves room for anyone to join the party or leave the party whenever they want.")</f>
        <v>He said the PDP political party leaves room for anyone to join the party or leave the party whenever they want.</v>
      </c>
    </row>
    <row r="602" ht="15.75" customHeight="1">
      <c r="A602" s="2" t="s">
        <v>651</v>
      </c>
      <c r="B602" s="2" t="str">
        <f>IFERROR(__xludf.DUMMYFUNCTION("GOOGLETRANSLATE(A602, ""yo"", ""en"")"),"He added that it is good for all those who will be holding back the club's clock to leave the club soon.")</f>
        <v>He added that it is good for all those who will be holding back the club's clock to leave the club soon.</v>
      </c>
    </row>
    <row r="603" ht="15.75" customHeight="1">
      <c r="A603" s="2" t="s">
        <v>652</v>
      </c>
      <c r="B603" s="2" t="str">
        <f>IFERROR(__xludf.DUMMYFUNCTION("GOOGLETRANSLATE(A603, ""yo"", ""en"")"),"While talking about the ADC political party, he said that the PDP does not see the party as an obstacle or a stumbling block for the PDP.")</f>
        <v>While talking about the ADC political party, he said that the PDP does not see the party as an obstacle or a stumbling block for the PDP.</v>
      </c>
    </row>
    <row r="604" ht="15.75" customHeight="1">
      <c r="A604" s="2" t="s">
        <v>653</v>
      </c>
      <c r="B604" s="2" t="str">
        <f>IFERROR(__xludf.DUMMYFUNCTION("GOOGLETRANSLATE(A604, ""yo"", ""en"")"),"There have been various controversies after Atiku announced to leave the PDP political party because of some inconsistencies in the party.")</f>
        <v>There have been various controversies after Atiku announced to leave the PDP political party because of some inconsistencies in the party.</v>
      </c>
    </row>
    <row r="605" ht="15.75" customHeight="1">
      <c r="A605" s="2" t="s">
        <v>654</v>
      </c>
      <c r="B605" s="2" t="str">
        <f>IFERROR(__xludf.DUMMYFUNCTION("GOOGLETRANSLATE(A605, ""yo"", ""en"")"),"Although Governor Seyi Makinde of Oyo state, who is also a thorn in the PDP, said that Atiku's actions will not have any effect on the party, the opinions of experts differ on this.")</f>
        <v>Although Governor Seyi Makinde of Oyo state, who is also a thorn in the PDP, said that Atiku's actions will not have any effect on the party, the opinions of experts differ on this.</v>
      </c>
    </row>
    <row r="606" ht="15.75" customHeight="1">
      <c r="A606" s="2" t="s">
        <v>655</v>
      </c>
      <c r="B606" s="2" t="str">
        <f>IFERROR(__xludf.DUMMYFUNCTION("GOOGLETRANSLATE(A606, ""yo"", ""en"")"),"A political scientist, Prof. Dhikirulahi Yagboyaju believes that under the current political system in Nigeria, a political member has the right to leave one party to another.")</f>
        <v>A political scientist, Prof. Dhikirulahi Yagboyaju believes that under the current political system in Nigeria, a political member has the right to leave one party to another.</v>
      </c>
    </row>
    <row r="607" ht="15.75" customHeight="1">
      <c r="A607" s="2" t="s">
        <v>656</v>
      </c>
      <c r="B607" s="2" t="str">
        <f>IFERROR(__xludf.DUMMYFUNCTION("GOOGLETRANSLATE(A607, ""yo"", ""en"")"),"""Leaving a political party is part of the right of those who join a political party if it is a political system or government that is preferred by a country like the one that Nigeria currently prefers."" He said that this system of government allows for "&amp;"many groups and the person who is doing politics can move from one group to another if what they are doing in one group is not satisfactory or in line with his beliefs.")</f>
        <v>"Leaving a political party is part of the right of those who join a political party if it is a political system or government that is preferred by a country like the one that Nigeria currently prefers." He said that this system of government allows for many groups and the person who is doing politics can move from one group to another if what they are doing in one group is not satisfactory or in line with his beliefs.</v>
      </c>
    </row>
    <row r="608" ht="15.75" customHeight="1">
      <c r="A608" s="2" t="s">
        <v>657</v>
      </c>
      <c r="B608" s="2" t="str">
        <f>IFERROR(__xludf.DUMMYFUNCTION("GOOGLETRANSLATE(A608, ""yo"", ""en"")"),"Professor Yagboyaju believes that it is an exaggeration that the PDP political party will not know how the members of the party are leaving the party to join another party.")</f>
        <v>Professor Yagboyaju believes that it is an exaggeration that the PDP political party will not know how the members of the party are leaving the party to join another party.</v>
      </c>
    </row>
    <row r="609" ht="15.75" customHeight="1">
      <c r="A609" s="2" t="s">
        <v>658</v>
      </c>
      <c r="B609" s="2" t="str">
        <f>IFERROR(__xludf.DUMMYFUNCTION("GOOGLETRANSLATE(A609, ""yo"", ""en"")"),"He added that Atiku is a veteran in the PDP political party, and has held strong positions in Nigeria through the party as well as being the vice president.")</f>
        <v>He added that Atiku is a veteran in the PDP political party, and has held strong positions in Nigeria through the party as well as being the vice president.</v>
      </c>
    </row>
    <row r="610" ht="15.75" customHeight="1">
      <c r="A610" s="2" t="s">
        <v>659</v>
      </c>
      <c r="B610" s="2" t="str">
        <f>IFERROR(__xludf.DUMMYFUNCTION("GOOGLETRANSLATE(A610, ""yo"", ""en"")"),"He said Atiku has people who are his fans who will follow him even if he leaves the party which will reduce the number of PDP members.")</f>
        <v>He said Atiku has people who are his fans who will follow him even if he leaves the party which will reduce the number of PDP members.</v>
      </c>
    </row>
    <row r="611" ht="15.75" customHeight="1">
      <c r="A611" s="2" t="s">
        <v>660</v>
      </c>
      <c r="B611" s="2" t="str">
        <f>IFERROR(__xludf.DUMMYFUNCTION("GOOGLETRANSLATE(A611, ""yo"", ""en"")"),"""Atiku is a name in the Nigerian political system that indicates that as they leave, they will leave with their loved ones.")</f>
        <v>"Atiku is a name in the Nigerian political system that indicates that as they leave, they will leave with their loved ones.</v>
      </c>
    </row>
    <row r="612" ht="15.75" customHeight="1">
      <c r="A612" s="2" t="s">
        <v>661</v>
      </c>
      <c r="B612" s="2" t="str">
        <f>IFERROR(__xludf.DUMMYFUNCTION("GOOGLETRANSLATE(A612, ""yo"", ""en"")"),"""The thing that makes a political party strong is if they have more members and every political party wants their members to increase."" The professor in the political party that Atiku joined will also find an idea that will make them more powerful.")</f>
        <v>"The thing that makes a political party strong is if they have more members and every political party wants their members to increase." The professor in the political party that Atiku joined will also find an idea that will make them more powerful.</v>
      </c>
    </row>
    <row r="613" ht="15.75" customHeight="1">
      <c r="A613" s="2" t="s">
        <v>662</v>
      </c>
      <c r="B613" s="2" t="str">
        <f>IFERROR(__xludf.DUMMYFUNCTION("GOOGLETRANSLATE(A613, ""yo"", ""en"")"),"The expert said that when people leave one political party for another, if the party they join is in power, it is a good thing for Nigeria because it will make the government in power take responsibility.")</f>
        <v>The expert said that when people leave one political party for another, if the party they join is in power, it is a good thing for Nigeria because it will make the government in power take responsibility.</v>
      </c>
    </row>
    <row r="614" ht="15.75" customHeight="1">
      <c r="A614" s="2" t="s">
        <v>663</v>
      </c>
      <c r="B614" s="2" t="str">
        <f>IFERROR(__xludf.DUMMYFUNCTION("GOOGLETRANSLATE(A614, ""yo"", ""en"")"),"Writing to leave his PDP party is another aspect of his political journey.")</f>
        <v>Writing to leave his PDP party is another aspect of his political journey.</v>
      </c>
    </row>
    <row r="615" ht="15.75" customHeight="1">
      <c r="A615" s="2" t="s">
        <v>664</v>
      </c>
      <c r="B615" s="2" t="str">
        <f>IFERROR(__xludf.DUMMYFUNCTION("GOOGLETRANSLATE(A615, ""yo"", ""en"")"),"His latest move is the fifth time he has left one political party for another since 1999 when Nigeria returned to civilian rule.")</f>
        <v>His latest move is the fifth time he has left one political party for another since 1999 when Nigeria returned to civilian rule.</v>
      </c>
    </row>
    <row r="616" ht="15.75" customHeight="1">
      <c r="A616" s="2" t="s">
        <v>665</v>
      </c>
      <c r="B616" s="2" t="str">
        <f>IFERROR(__xludf.DUMMYFUNCTION("GOOGLETRANSLATE(A616, ""yo"", ""en"")"),"In 1999, he was elected as the governor of Adamawa state under the PDP political party but he was chosen to be the vice president of Olusegun Obasanjo before he was sworn in as governor.")</f>
        <v>In 1999, he was elected as the governor of Adamawa state under the PDP political party but he was chosen to be the vice president of Olusegun Obasanjo before he was sworn in as governor.</v>
      </c>
    </row>
    <row r="617" ht="15.75" customHeight="1">
      <c r="A617" s="2" t="s">
        <v>666</v>
      </c>
      <c r="B617" s="2" t="str">
        <f>IFERROR(__xludf.DUMMYFUNCTION("GOOGLETRANSLATE(A617, ""yo"", ""en"")"),"He served as vice president between 1999 and 2007.")</f>
        <v>He served as vice president between 1999 and 2007.</v>
      </c>
    </row>
    <row r="618" ht="15.75" customHeight="1">
      <c r="A618" s="2" t="s">
        <v>667</v>
      </c>
      <c r="B618" s="2" t="str">
        <f>IFERROR(__xludf.DUMMYFUNCTION("GOOGLETRANSLATE(A618, ""yo"", ""en"")"),"In 2006, Atiku left the PDP to join the Action Congress political party after a conflict broke out between him and Olusegun Obasanjo over who would take over as president.")</f>
        <v>In 2006, Atiku left the PDP to join the Action Congress political party after a conflict broke out between him and Olusegun Obasanjo over who would take over as president.</v>
      </c>
    </row>
    <row r="619" ht="15.75" customHeight="1">
      <c r="A619" s="2" t="s">
        <v>668</v>
      </c>
      <c r="B619" s="2" t="str">
        <f>IFERROR(__xludf.DUMMYFUNCTION("GOOGLETRANSLATE(A619, ""yo"", ""en"")"),"He ran for the presidency of Nigeria under the AC political party in 2007 and lost to Umaru Musa Yar'Adua of the PDP.")</f>
        <v>He ran for the presidency of Nigeria under the AC political party in 2007 and lost to Umaru Musa Yar'Adua of the PDP.</v>
      </c>
    </row>
    <row r="620" ht="15.75" customHeight="1">
      <c r="A620" s="2" t="s">
        <v>669</v>
      </c>
      <c r="B620" s="2" t="str">
        <f>IFERROR(__xludf.DUMMYFUNCTION("GOOGLETRANSLATE(A620, ""yo"", ""en"")"),"Atiku returned to the PDP in 2009 after a rift broke out between him and the leader of the AC political party at the time, who is also the current president of Nigeria, Bola Tinubu.")</f>
        <v>Atiku returned to the PDP in 2009 after a rift broke out between him and the leader of the AC political party at the time, who is also the current president of Nigeria, Bola Tinubu.</v>
      </c>
    </row>
    <row r="621" ht="15.75" customHeight="1">
      <c r="A621" s="2" t="s">
        <v>670</v>
      </c>
      <c r="B621" s="2" t="str">
        <f>IFERROR(__xludf.DUMMYFUNCTION("GOOGLETRANSLATE(A621, ""yo"", ""en"")"),"He tried to replace the president of Nigeria in 2011 under the banner of the PDP political party but the former president of Nigeria, Goodluck Jonathan, was given the party's ticket.")</f>
        <v>He tried to replace the president of Nigeria in 2011 under the banner of the PDP political party but the former president of Nigeria, Goodluck Jonathan, was given the party's ticket.</v>
      </c>
    </row>
    <row r="622" ht="15.75" customHeight="1">
      <c r="A622" s="2" t="s">
        <v>671</v>
      </c>
      <c r="B622" s="2" t="str">
        <f>IFERROR(__xludf.DUMMYFUNCTION("GOOGLETRANSLATE(A622, ""yo"", ""en"")"),"Before the 2015 election, Atiku also left the PDP political party to join the newly formed All Progressives Congress, APC.")</f>
        <v>Before the 2015 election, Atiku also left the PDP political party to join the newly formed All Progressives Congress, APC.</v>
      </c>
    </row>
    <row r="623" ht="15.75" customHeight="1">
      <c r="A623" s="2" t="s">
        <v>672</v>
      </c>
      <c r="B623" s="2" t="str">
        <f>IFERROR(__xludf.DUMMYFUNCTION("GOOGLETRANSLATE(A623, ""yo"", ""en"")"),"He alleged at the time that there were some irregularities in the PDP government and he resigned.")</f>
        <v>He alleged at the time that there were some irregularities in the PDP government and he resigned.</v>
      </c>
    </row>
    <row r="624" ht="15.75" customHeight="1">
      <c r="A624" s="2" t="s">
        <v>673</v>
      </c>
      <c r="B624" s="2" t="str">
        <f>IFERROR(__xludf.DUMMYFUNCTION("GOOGLETRANSLATE(A624, ""yo"", ""en"")"),"He contested for the APC party ticket to replace the presidency in 2015 but lost to Muhammadu Buhari.")</f>
        <v>He contested for the APC party ticket to replace the presidency in 2015 but lost to Muhammadu Buhari.</v>
      </c>
    </row>
    <row r="625" ht="15.75" customHeight="1">
      <c r="A625" s="2" t="s">
        <v>674</v>
      </c>
      <c r="B625" s="2" t="str">
        <f>IFERROR(__xludf.DUMMYFUNCTION("GOOGLETRANSLATE(A625, ""yo"", ""en"")"),"Atiku returned to the PDP in 2017 with the allegation that the APC did not fulfill the promises they made to the people during the election campaign and that they were looking down on some people in the party.")</f>
        <v>Atiku returned to the PDP in 2017 with the allegation that the APC did not fulfill the promises they made to the people during the election campaign and that they were looking down on some people in the party.</v>
      </c>
    </row>
    <row r="626" ht="15.75" customHeight="1">
      <c r="A626" s="2" t="s">
        <v>675</v>
      </c>
      <c r="B626" s="2" t="str">
        <f>IFERROR(__xludf.DUMMYFUNCTION("GOOGLETRANSLATE(A626, ""yo"", ""en"")"),"He ran for the presidency with the PDP in 2019 but lost again to Muhammadu Buhari of the APC.")</f>
        <v>He ran for the presidency with the PDP in 2019 but lost again to Muhammadu Buhari of the APC.</v>
      </c>
    </row>
    <row r="627" ht="15.75" customHeight="1">
      <c r="A627" s="2" t="s">
        <v>676</v>
      </c>
      <c r="B627" s="2" t="str">
        <f>IFERROR(__xludf.DUMMYFUNCTION("GOOGLETRANSLATE(A627, ""yo"", ""en"")"),"He also got the party's ticket in 2023 to compete for the position of president.")</f>
        <v>He also got the party's ticket in 2023 to compete for the position of president.</v>
      </c>
    </row>
    <row r="628" ht="15.75" customHeight="1">
      <c r="A628" s="2" t="s">
        <v>677</v>
      </c>
      <c r="B628" s="2" t="str">
        <f>IFERROR(__xludf.DUMMYFUNCTION("GOOGLETRANSLATE(A628, ""yo"", ""en"")"),"This caused controversy between him and the five governors of the PDP political party when they accused Atiku of not following the agreement that power should return to the southern region of Nigeria.")</f>
        <v>This caused controversy between him and the five governors of the PDP political party when they accused Atiku of not following the agreement that power should return to the southern region of Nigeria.</v>
      </c>
    </row>
    <row r="629" ht="15.75" customHeight="1">
      <c r="A629" s="2" t="s">
        <v>678</v>
      </c>
      <c r="B629" s="2" t="str">
        <f>IFERROR(__xludf.DUMMYFUNCTION("GOOGLETRANSLATE(A629, ""yo"", ""en"")"),"Although Atiku Abubakar has not announced the political party he wants to join, he said he has left the PDP political party.")</f>
        <v>Although Atiku Abubakar has not announced the political party he wants to join, he said he has left the PDP political party.</v>
      </c>
    </row>
    <row r="630" ht="15.75" customHeight="1">
      <c r="A630" s="2" t="s">
        <v>679</v>
      </c>
      <c r="B630" s="2" t="str">
        <f>IFERROR(__xludf.DUMMYFUNCTION("GOOGLETRANSLATE(A630, ""yo"", ""en"")"),"The reason behind the new move according to Atiku is not the end of the conflict that is going on in the PDP.")</f>
        <v>The reason behind the new move according to Atiku is not the end of the conflict that is going on in the PDP.</v>
      </c>
    </row>
    <row r="631" ht="15.75" customHeight="1">
      <c r="A631" s="2" t="s">
        <v>680</v>
      </c>
      <c r="B631" s="2" t="str">
        <f>IFERROR(__xludf.DUMMYFUNCTION("GOOGLETRANSLATE(A631, ""yo"", ""en"")"),"Many have been saying that it is possible that Atiku will join the ADC political party due to the ongoing conflict.")</f>
        <v>Many have been saying that it is possible that Atiku will join the ADC political party due to the ongoing conflict.</v>
      </c>
    </row>
    <row r="632" ht="15.75" customHeight="1">
      <c r="A632" s="2" t="s">
        <v>681</v>
      </c>
      <c r="B632" s="2" t="str">
        <f>IFERROR(__xludf.DUMMYFUNCTION("GOOGLETRANSLATE(A632, ""yo"", ""en"")"),"As Nigeria mourns the death of yesterday's president, Muhammadu Buhari, who passed away on Sunday the 13th of July, many people are recalling his words and actions that caused controversy during his reign.")</f>
        <v>As Nigeria mourns the death of yesterday's president, Muhammadu Buhari, who passed away on Sunday the 13th of July, many people are recalling his words and actions that caused controversy during his reign.</v>
      </c>
    </row>
    <row r="633" ht="15.75" customHeight="1">
      <c r="A633" s="2" t="s">
        <v>682</v>
      </c>
      <c r="B633" s="2" t="str">
        <f>IFERROR(__xludf.DUMMYFUNCTION("GOOGLETRANSLATE(A633, ""yo"", ""en"")"),"It's been a long time since Buhari has done things or said things that have caused controversy.")</f>
        <v>It's been a long time since Buhari has done things or said things that have caused controversy.</v>
      </c>
    </row>
    <row r="634" ht="15.75" customHeight="1">
      <c r="A634" s="2" t="s">
        <v>683</v>
      </c>
      <c r="B634" s="2" t="str">
        <f>IFERROR(__xludf.DUMMYFUNCTION("GOOGLETRANSLATE(A634, ""yo"", ""en"")"),"If you forget, Buhari first served as the head of the Nigerian military between 1983 and 1985 before becoming the civilian president elected by the people in 2015.")</f>
        <v>If you forget, Buhari first served as the head of the Nigerian military between 1983 and 1985 before becoming the civilian president elected by the people in 2015.</v>
      </c>
    </row>
    <row r="635" ht="15.75" customHeight="1">
      <c r="A635" s="2" t="s">
        <v>684</v>
      </c>
      <c r="B635" s="2" t="str">
        <f>IFERROR(__xludf.DUMMYFUNCTION("GOOGLETRANSLATE(A635, ""yo"", ""en"")"),"Buhari spent two different terms as president of Nigeria between 2015 and 2023.")</f>
        <v>Buhari spent two different terms as president of Nigeria between 2015 and 2023.</v>
      </c>
    </row>
    <row r="636" ht="15.75" customHeight="1">
      <c r="A636" s="2" t="s">
        <v>685</v>
      </c>
      <c r="B636" s="2" t="str">
        <f>IFERROR(__xludf.DUMMYFUNCTION("GOOGLETRANSLATE(A636, ""yo"", ""en"")"),"Similarly, we will see the times when the people are upset, either because of something the president has done or something he has refused to do.")</f>
        <v>Similarly, we will see the times when the people are upset, either because of something the president has done or something he has refused to do.</v>
      </c>
    </row>
    <row r="637" ht="15.75" customHeight="1">
      <c r="A637" s="2" t="s">
        <v>686</v>
      </c>
      <c r="B637" s="2" t="str">
        <f>IFERROR(__xludf.DUMMYFUNCTION("GOOGLETRANSLATE(A637, ""yo"", ""en"")"),"This program that Buhari launched in the middle of June 1984 during his military regime forced Nigerians to stop if they want to buy something in public.")</f>
        <v>This program that Buhari launched in the middle of June 1984 during his military regime forced Nigerians to stop if they want to buy something in public.</v>
      </c>
    </row>
    <row r="638" ht="15.75" customHeight="1">
      <c r="A638" s="2" t="s">
        <v>687</v>
      </c>
      <c r="B638" s="2" t="str">
        <f>IFERROR(__xludf.DUMMYFUNCTION("GOOGLETRANSLATE(A638, ""yo"", ""en"")"),"Many people see their mother if they are late for work then, similarly, citizens must respect the Nigerian flag under the WAI program.")</f>
        <v>Many people see their mother if they are late for work then, similarly, citizens must respect the Nigerian flag under the WAI program.</v>
      </c>
    </row>
    <row r="639" ht="15.75" customHeight="1">
      <c r="A639" s="2" t="s">
        <v>688</v>
      </c>
      <c r="B639" s="2" t="str">
        <f>IFERROR(__xludf.DUMMYFUNCTION("GOOGLETRANSLATE(A639, ""yo"", ""en"")"),"Under this system, citizens must be allowed to go outside during that time, if they do, the law enforcement will arrest them.")</f>
        <v>Under this system, citizens must be allowed to go outside during that time, if they do, the law enforcement will arrest them.</v>
      </c>
    </row>
    <row r="640" ht="15.75" customHeight="1">
      <c r="A640" s="2" t="s">
        <v>689</v>
      </c>
      <c r="B640" s="2" t="str">
        <f>IFERROR(__xludf.DUMMYFUNCTION("GOOGLETRANSLATE(A640, ""yo"", ""en"")"),"On the first day of January 1984, Buhari's military government enacted a military law called ""decree 4."" The law states that it is a crime for a journalist or news agency to publish any news that opposes the Nigerian military government.")</f>
        <v>On the first day of January 1984, Buhari's military government enacted a military law called "decree 4." The law states that it is a crime for a journalist or news agency to publish any news that opposes the Nigerian military government.</v>
      </c>
    </row>
    <row r="641" ht="15.75" customHeight="1">
      <c r="A641" s="2" t="s">
        <v>690</v>
      </c>
      <c r="B641" s="2" t="str">
        <f>IFERROR(__xludf.DUMMYFUNCTION("GOOGLETRANSLATE(A641, ""yo"", ""en"")"),"Buhari's military government has banned journalists working with the Guardian newspaper, Tunde Thompson and Nduka Irabor, on the charge that they violated the law.")</f>
        <v>Buhari's military government has banned journalists working with the Guardian newspaper, Tunde Thompson and Nduka Irabor, on the charge that they violated the law.</v>
      </c>
    </row>
    <row r="642" ht="15.75" customHeight="1">
      <c r="A642" s="2" t="s">
        <v>691</v>
      </c>
      <c r="B642" s="2" t="str">
        <f>IFERROR(__xludf.DUMMYFUNCTION("GOOGLETRANSLATE(A642, ""yo"", ""en"")"),"The two journalists were jailed at that time.")</f>
        <v>The two journalists were jailed at that time.</v>
      </c>
    </row>
    <row r="643" ht="15.75" customHeight="1">
      <c r="A643" s="2" t="s">
        <v>692</v>
      </c>
      <c r="B643" s="2" t="str">
        <f>IFERROR(__xludf.DUMMYFUNCTION("GOOGLETRANSLATE(A643, ""yo"", ""en"")"),"Many of my journalists differed from these two in the military regime rather than in detention at that time.")</f>
        <v>Many of my journalists differed from these two in the military regime rather than in detention at that time.</v>
      </c>
    </row>
    <row r="644" ht="15.75" customHeight="1">
      <c r="A644" s="2" t="s">
        <v>693</v>
      </c>
      <c r="B644" s="2" t="str">
        <f>IFERROR(__xludf.DUMMYFUNCTION("GOOGLETRANSLATE(A644, ""yo"", ""en"")"),"This program is used by the NDLEA organization that fights against drugs to warn the public about the dangers of using drugs.")</f>
        <v>This program is used by the NDLEA organization that fights against drugs to warn the public about the dangers of using drugs.</v>
      </c>
    </row>
    <row r="645" ht="15.75" customHeight="1">
      <c r="A645" s="2" t="s">
        <v>694</v>
      </c>
      <c r="B645" s="2" t="str">
        <f>IFERROR(__xludf.DUMMYFUNCTION("GOOGLETRANSLATE(A645, ""yo"", ""en"")"),"Buhari then said that drugs are more dangerous than those who live near me because they can destroy three generations.")</f>
        <v>Buhari then said that drugs are more dangerous than those who live near me because they can destroy three generations.</v>
      </c>
    </row>
    <row r="646" ht="15.75" customHeight="1">
      <c r="A646" s="2" t="s">
        <v>695</v>
      </c>
      <c r="B646" s="2" t="str">
        <f>IFERROR(__xludf.DUMMYFUNCTION("GOOGLETRANSLATE(A646, ""yo"", ""en"")"),"NAN news agency said that the launch of this program is in line with the UN's warning against the use of drugs in order to protect people.")</f>
        <v>NAN news agency said that the launch of this program is in line with the UN's warning against the use of drugs in order to protect people.</v>
      </c>
    </row>
    <row r="647" ht="15.75" customHeight="1">
      <c r="A647" s="2" t="s">
        <v>696</v>
      </c>
      <c r="B647" s="2" t="str">
        <f>IFERROR(__xludf.DUMMYFUNCTION("GOOGLETRANSLATE(A647, ""yo"", ""en"")"),"Buhari added to his statement at the time saying that it is the duty of every citizen to combat the use and abuse of drugs.")</f>
        <v>Buhari added to his statement at the time saying that it is the duty of every citizen to combat the use and abuse of drugs.</v>
      </c>
    </row>
    <row r="648" ht="15.75" customHeight="1">
      <c r="A648" s="2" t="s">
        <v>697</v>
      </c>
      <c r="B648" s="2" t="str">
        <f>IFERROR(__xludf.DUMMYFUNCTION("GOOGLETRANSLATE (A648, ""yo"", ""en"")"),"This incident is not that the president is talking to a person or the public, the president's lack of speech by insulting a person has caused the internet to burn.")</f>
        <v>This incident is not that the president is talking to a person or the public, the president's lack of speech by insulting a person has caused the internet to burn.</v>
      </c>
    </row>
    <row r="649" ht="15.75" customHeight="1">
      <c r="A649" s="2" t="s">
        <v>698</v>
      </c>
      <c r="B649" s="2" t="str">
        <f>IFERROR(__xludf.DUMMYFUNCTION("GOOGLETRANSLATE(A649, ""yo"", ""en"")"),"This matter happened when the president was in front of the Nigerian parliament.")</f>
        <v>This matter happened when the president was in front of the Nigerian parliament.</v>
      </c>
    </row>
    <row r="650" ht="15.75" customHeight="1">
      <c r="A650" s="2" t="s">
        <v>699</v>
      </c>
      <c r="B650" s="2" t="str">
        <f>IFERROR(__xludf.DUMMYFUNCTION("GOOGLETRANSLATE(A650, ""yo"", ""en"")"),"The president is reading things that he says his government has done successfully, but a lawmaker is shouting and his speech is covering the president's speech.")</f>
        <v>The president is reading things that he says his government has done successfully, but a lawmaker is shouting and his speech is covering the president's speech.</v>
      </c>
    </row>
    <row r="651" ht="15.75" customHeight="1">
      <c r="A651" s="2" t="s">
        <v>700</v>
      </c>
      <c r="B651" s="2" t="str">
        <f>IFERROR(__xludf.DUMMYFUNCTION("GOOGLETRANSLATE(A651, ""yo"", ""en"")"),"In this speech, the people are watching the lawmaker's video recorder shouting that there is no truth in what the president is saying.")</f>
        <v>In this speech, the people are watching the lawmaker's video recorder shouting that there is no truth in what the president is saying.</v>
      </c>
    </row>
    <row r="652" ht="15.75" customHeight="1">
      <c r="A652" s="2" t="s">
        <v>701</v>
      </c>
      <c r="B652" s="2" t="str">
        <f>IFERROR(__xludf.DUMMYFUNCTION("GOOGLETRANSLATE(A652, ""yo"", ""en"")"),"Instead of giving him a smile, he turned his eyes to the owner and frowned.")</f>
        <v>Instead of giving him a smile, he turned his eyes to the owner and frowned.</v>
      </c>
    </row>
    <row r="653" ht="15.75" customHeight="1">
      <c r="A653" s="2" t="s">
        <v>702</v>
      </c>
      <c r="B653" s="2" t="str">
        <f>IFERROR(__xludf.DUMMYFUNCTION("GOOGLETRANSLATE(A653, ""yo"", ""en"")"),"Nigerians have seen this past and brought us different criticism.")</f>
        <v>Nigerians have seen this past and brought us different criticism.</v>
      </c>
    </row>
    <row r="654" ht="15.75" customHeight="1">
      <c r="A654" s="2" t="s">
        <v>703</v>
      </c>
      <c r="B654" s="2" t="str">
        <f>IFERROR(__xludf.DUMMYFUNCTION("GOOGLETRANSLATE(A654, ""yo"", ""en"")"),"This will remain in their minds for a long time as an unforgettable event in the issue of the Naira currency that was changed by their government.")</f>
        <v>This will remain in their minds for a long time as an unforgettable event in the issue of the Naira currency that was changed by their government.</v>
      </c>
    </row>
    <row r="655" ht="15.75" customHeight="1">
      <c r="A655" s="2" t="s">
        <v>704</v>
      </c>
      <c r="B655" s="2" t="str">
        <f>IFERROR(__xludf.DUMMYFUNCTION("GOOGLETRANSLATE(A655, ""yo"", ""en"")"),"Millions of businessmen and the private sector complained during this program which brought hardship to the masses of Nigerians who depend on the supply of money for daily use.")</f>
        <v>Millions of businessmen and the private sector complained during this program which brought hardship to the masses of Nigerians who depend on the supply of money for daily use.</v>
      </c>
    </row>
    <row r="656" ht="15.75" customHeight="1">
      <c r="A656" s="2" t="s">
        <v>705</v>
      </c>
      <c r="B656" s="2" t="str">
        <f>IFERROR(__xludf.DUMMYFUNCTION("GOOGLETRANSLATE(A656, ""yo"", ""en"")"),"Let's first talk about the forbidden period.")</f>
        <v>Let's first talk about the forbidden period.</v>
      </c>
    </row>
    <row r="657" ht="15.75" customHeight="1">
      <c r="A657" s="2" t="s">
        <v>706</v>
      </c>
      <c r="B657" s="2" t="str">
        <f>IFERROR(__xludf.DUMMYFUNCTION("GOOGLETRANSLATE(A657, ""yo"", ""en"")"),"The banning of the Twitter site by the Nigerian government did not stop as the site removed the president's message from the site.")</f>
        <v>The banning of the Twitter site by the Nigerian government did not stop as the site removed the president's message from the site.</v>
      </c>
    </row>
    <row r="658" ht="15.75" customHeight="1">
      <c r="A658" s="2" t="s">
        <v>707</v>
      </c>
      <c r="B658" s="2" t="str">
        <f>IFERROR(__xludf.DUMMYFUNCTION("GOOGLETRANSLATE(A658, ""yo"", ""en"")"),"The government retaliated and banned the Twitter site loudly.")</f>
        <v>The government retaliated and banned the Twitter site loudly.</v>
      </c>
    </row>
    <row r="659" ht="15.75" customHeight="1">
      <c r="A659" s="2" t="s">
        <v>708</v>
      </c>
      <c r="B659" s="2" t="str">
        <f>IFERROR(__xludf.DUMMYFUNCTION("GOOGLETRANSLATE(A659, ""yo"", ""en"")"),"And the youth and the fans all protested against this step of the Nigerian government.")</f>
        <v>And the youth and the fans all protested against this step of the Nigerian government.</v>
      </c>
    </row>
    <row r="660" ht="15.75" customHeight="1">
      <c r="A660" s="2" t="s">
        <v>709</v>
      </c>
      <c r="B660" s="2" t="str">
        <f>IFERROR(__xludf.DUMMYFUNCTION("GOOGLETRANSLATE(A660, ""yo"", ""en"")"),"Many describe it as colonialism but the government should not listen until its hundred days pass on this issue.")</f>
        <v>Many describe it as colonialism but the government should not listen until its hundred days pass on this issue.</v>
      </c>
    </row>
    <row r="661" ht="15.75" customHeight="1">
      <c r="A661" s="2" t="s">
        <v>710</v>
      </c>
      <c r="B661" s="2" t="str">
        <f>IFERROR(__xludf.DUMMYFUNCTION("GOOGLETRANSLATE(A661, ""yo"", ""en"")"),"Later on, the government agreed to release this road, but many Nigerians will not forget the hardships that this step brought to some citizens.")</f>
        <v>Later on, the government agreed to release this road, but many Nigerians will not forget the hardships that this step brought to some citizens.</v>
      </c>
    </row>
    <row r="662" ht="15.75" customHeight="1">
      <c r="A662" s="2" t="s">
        <v>711</v>
      </c>
      <c r="B662" s="2" t="str">
        <f>IFERROR(__xludf.DUMMYFUNCTION("GOOGLETRANSLATE(A662, ""yo"", ""en"")"),"After the launch of this program, citizens have the opportunity to travel by train from one city to another.")</f>
        <v>After the launch of this program, citizens have the opportunity to travel by train from one city to another.</v>
      </c>
    </row>
    <row r="663" ht="15.75" customHeight="1">
      <c r="A663" s="2" t="s">
        <v>712</v>
      </c>
      <c r="B663" s="2" t="str">
        <f>IFERROR(__xludf.DUMMYFUNCTION("GOOGLETRANSLATE(A663, ""yo"", ""en"")"),"Many have not boarded the train from Lagos to Ibadan since the Buhari government re-launched the train.")</f>
        <v>Many have not boarded the train from Lagos to Ibadan since the Buhari government re-launched the train.</v>
      </c>
    </row>
    <row r="664" ht="15.75" customHeight="1">
      <c r="A664" s="2" t="s">
        <v>713</v>
      </c>
      <c r="B664" s="2" t="str">
        <f>IFERROR(__xludf.DUMMYFUNCTION("GOOGLETRANSLATE(A664, ""yo"", ""en"")"),"Similarly, many people choose to take the train from Abuja to Kaduna instead of taking the bus.")</f>
        <v>Similarly, many people choose to take the train from Abuja to Kaduna instead of taking the bus.</v>
      </c>
    </row>
    <row r="665" ht="15.75" customHeight="1">
      <c r="A665" s="2" t="s">
        <v>714</v>
      </c>
      <c r="B665" s="2" t="str">
        <f>IFERROR(__xludf.DUMMYFUNCTION("GOOGLETRANSLATE(A665, ""yo"", ""en"")"),"Across Nigeria, people are now able to travel by train from one city to another.")</f>
        <v>Across Nigeria, people are now able to travel by train from one city to another.</v>
      </c>
    </row>
    <row r="666" ht="15.75" customHeight="1">
      <c r="A666" s="2" t="s">
        <v>715</v>
      </c>
      <c r="B666" s="2" t="str">
        <f>IFERROR(__xludf.DUMMYFUNCTION("GOOGLETRANSLATE(A666, ""yo"", ""en"")"),"One of the memorable things that Buhari did during his reign that many Nigerians cannot forget is the impact he had on the youth protest against the brutality of the SARS police against the public.")</f>
        <v>One of the memorable things that Buhari did during his reign that many Nigerians cannot forget is the impact he had on the youth protest against the brutality of the SARS police against the public.</v>
      </c>
    </row>
    <row r="667" ht="15.75" customHeight="1">
      <c r="A667" s="2" t="s">
        <v>716</v>
      </c>
      <c r="B667" s="2" t="str">
        <f>IFERROR(__xludf.DUMMYFUNCTION("GOOGLETRANSLATE(A667, ""yo"", ""en"")"),"Thousands of young people came to the Lekki TollGate in Lagos in October 2020 to protest the brutality of the SARS police against the public.")</f>
        <v>Thousands of young people came to the Lekki TollGate in Lagos in October 2020 to protest the brutality of the SARS police against the public.</v>
      </c>
    </row>
    <row r="668" ht="15.75" customHeight="1">
      <c r="A668" s="2" t="s">
        <v>717</v>
      </c>
      <c r="B668" s="2" t="str">
        <f>IFERROR(__xludf.DUMMYFUNCTION("GOOGLETRANSLATE(A668, ""yo"", ""en"")"),"Buhari first banned the SARS policemen after the influx of young people became increasingly hot.")</f>
        <v>Buhari first banned the SARS policemen after the influx of young people became increasingly hot.</v>
      </c>
    </row>
    <row r="669" ht="15.75" customHeight="1">
      <c r="A669" s="2" t="s">
        <v>718</v>
      </c>
      <c r="B669" s="2" t="str">
        <f>IFERROR(__xludf.DUMMYFUNCTION("GOOGLETRANSLATE(A669, ""yo"", ""en"")"),"However, when the arrivals were getting stronger and the youths were asking for good governance, President Buhari ordered that the law enforcement officers who knew the migrants went to oppose the arrivals.")</f>
        <v>However, when the arrivals were getting stronger and the youths were asking for good governance, President Buhari ordered that the law enforcement officers who knew the migrants went to oppose the arrivals.</v>
      </c>
    </row>
    <row r="670" ht="15.75" customHeight="1">
      <c r="A670" s="2" t="s">
        <v>719</v>
      </c>
      <c r="B670" s="2" t="str">
        <f>IFERROR(__xludf.DUMMYFUNCTION("GOOGLETRANSLATE(A670:A2067, ""yo"", ""en"")"),"Now they cross the border of their guns entering the Lekki Tollgate, where activists say that no less than twelve people died.")</f>
        <v>Now they cross the border of their guns entering the Lekki Tollgate, where activists say that no less than twelve people died.</v>
      </c>
    </row>
    <row r="671" ht="15.75" customHeight="1">
      <c r="A671" s="2" t="s">
        <v>720</v>
      </c>
      <c r="B671" s="2" t="str">
        <f>IFERROR(__xludf.DUMMYFUNCTION("GOOGLETRANSLATE(A671, ""yo"", ""en"")"),"The thing that surprised many people is that President Buhari did not talk about the soldiers who shot the attackers when he was talking to the people about the incident.")</f>
        <v>The thing that surprised many people is that President Buhari did not talk about the soldiers who shot the attackers when he was talking to the people about the incident.</v>
      </c>
    </row>
    <row r="672" ht="15.75" customHeight="1">
      <c r="A672" s="2" t="s">
        <v>721</v>
      </c>
      <c r="B672" s="2" t="str">
        <f>IFERROR(__xludf.DUMMYFUNCTION("GOOGLETRANSLATE(A672, ""yo"", ""en"")"),"In fact, the president warned the attackers not to do anything that could harm the Nigerian women's system.")</f>
        <v>In fact, the president warned the attackers not to do anything that could harm the Nigerian women's system.</v>
      </c>
    </row>
    <row r="673" ht="15.75" customHeight="1">
      <c r="A673" s="2" t="s">
        <v>722</v>
      </c>
      <c r="B673" s="2" t="str">
        <f>IFERROR(__xludf.DUMMYFUNCTION("GOOGLETRANSLATE(A673, ""yo"", ""en"")"),"The office of the president has various programs that will give the people the right hope. The current APC government is investing heavily in this.")</f>
        <v>The office of the president has various programs that will give the people the right hope. The current APC government is investing heavily in this.</v>
      </c>
    </row>
    <row r="674" ht="15.75" customHeight="1">
      <c r="A674" s="2" t="s">
        <v>723</v>
      </c>
      <c r="B674" s="2" t="str">
        <f>IFERROR(__xludf.DUMMYFUNCTION("GOOGLETRANSLATE(A674, ""yo"", ""en"")"),"The Special Adviser to the President on Media and Communications, Sunday Dare, confirmed this on his X column.")</f>
        <v>The Special Adviser to the President on Media and Communications, Sunday Dare, confirmed this on his X column.</v>
      </c>
    </row>
    <row r="675" ht="15.75" customHeight="1">
      <c r="A675" s="2" t="s">
        <v>724</v>
      </c>
      <c r="B675" s="2" t="str">
        <f>IFERROR(__xludf.DUMMYFUNCTION("GOOGLETRANSLATE(A675, ""yo"", ""en"")"),"Dare analyzes the things that the government is doing with the income, it has various programs that will benefit the people that the government is investing heavily on.")</f>
        <v>Dare analyzes the things that the government is doing with the income, it has various programs that will benefit the people that the government is investing heavily on.</v>
      </c>
    </row>
    <row r="676" ht="15.75" customHeight="1">
      <c r="A676" s="2" t="s">
        <v>725</v>
      </c>
      <c r="B676" s="2" t="str">
        <f>IFERROR(__xludf.DUMMYFUNCTION("GOOGLETRANSLATE(A676, ""yo"", ""en"")"),"This information comes after many people, especially the leaders of the opposition political parties, are complaining about the debt that Nigeria has incurred under the Tinubu government.")</f>
        <v>This information comes after many people, especially the leaders of the opposition political parties, are complaining about the debt that Nigeria has incurred under the Tinubu government.</v>
      </c>
    </row>
    <row r="677" ht="15.75" customHeight="1">
      <c r="A677" s="2" t="s">
        <v>726</v>
      </c>
      <c r="B677" s="2" t="str">
        <f>IFERROR(__xludf.DUMMYFUNCTION("GOOGLETRANSLATE(A677, ""yo"", ""en"")"),"The presidential advisor in the government took this step to ensure that small investors are working which will reduce the problem of unemployment in Nigeria.")</f>
        <v>The presidential advisor in the government took this step to ensure that small investors are working which will reduce the problem of unemployment in Nigeria.</v>
      </c>
    </row>
    <row r="678" ht="15.75" customHeight="1">
      <c r="A678" s="2" t="s">
        <v>727</v>
      </c>
      <c r="B678" s="2" t="str">
        <f>IFERROR(__xludf.DUMMYFUNCTION("GOOGLETRANSLATE(A678, ""yo"", ""en"")"),"It is true that the government believes that supporting these small investors will reduce poverty and work that affects many people, and will also bring development.")</f>
        <v>It is true that the government believes that supporting these small investors will reduce poverty and work that affects many people, and will also bring development.</v>
      </c>
    </row>
    <row r="679" ht="15.75" customHeight="1">
      <c r="A679" s="2" t="s">
        <v>728</v>
      </c>
      <c r="B679" s="2" t="str">
        <f>IFERROR(__xludf.DUMMYFUNCTION("GOOGLETRANSLATE(A679, ""yo"", ""en"")"),"Another program that the government is investing heavily in is the transport sector and road construction across Nigeria.")</f>
        <v>Another program that the government is investing heavily in is the transport sector and road construction across Nigeria.</v>
      </c>
    </row>
    <row r="680" ht="15.75" customHeight="1">
      <c r="A680" s="2" t="s">
        <v>729</v>
      </c>
      <c r="B680" s="2" t="str">
        <f>IFERROR(__xludf.DUMMYFUNCTION("GOOGLETRANSLATE(A680, ""yo"", ""en"")"),"Mr. Dare explained that there may be 440 roads that the government is working on throughout Nigeria, which is about 2,700 kilometers that will make the economic system more difficult.")</f>
        <v>Mr. Dare explained that there may be 440 roads that the government is working on throughout Nigeria, which is about 2,700 kilometers that will make the economic system more difficult.</v>
      </c>
    </row>
    <row r="681" ht="15.75" customHeight="1">
      <c r="A681" s="2" t="s">
        <v>730</v>
      </c>
      <c r="B681" s="2" t="str">
        <f>IFERROR(__xludf.DUMMYFUNCTION("GOOGLETRANSLATE(A672, ""yo"", ""en"")"),"In fact, the president warned the attackers not to do anything that could harm the Nigerian women's system.")</f>
        <v>In fact, the president warned the attackers not to do anything that could harm the Nigerian women's system.</v>
      </c>
    </row>
    <row r="682" ht="15.75" customHeight="1">
      <c r="A682" s="2" t="s">
        <v>731</v>
      </c>
      <c r="B682" s="2" t="str">
        <f>IFERROR(__xludf.DUMMYFUNCTION("GOOGLETRANSLATE(A682, ""yo"", ""en"")"),"BBC News Yoruba news on your WhatsApp Join us there End of podcast promotion The Department of Education is not the last of the things that the government invests in on the platform.")</f>
        <v>BBC News Yoruba news on your WhatsApp Join us there End of podcast promotion The Department of Education is not the last of the things that the government invests in on the platform.</v>
      </c>
    </row>
    <row r="683" ht="15.75" customHeight="1">
      <c r="A683" s="2" t="s">
        <v>732</v>
      </c>
      <c r="B683" s="2" t="str">
        <f>IFERROR(__xludf.DUMMYFUNCTION("GOOGLETRANSLATE(A683, ""yo"", ""en"")"),"The president's adviser has helped hundreds of students in this program to enable them to benefit from an education that is worth the money with money that they will not return quickly.")</f>
        <v>The president's adviser has helped hundreds of students in this program to enable them to benefit from an education that is worth the money with money that they will not return quickly.</v>
      </c>
    </row>
    <row r="684" ht="15.75" customHeight="1">
      <c r="A684" s="2" t="s">
        <v>733</v>
      </c>
      <c r="B684" s="2" t="str">
        <f>IFERROR(__xludf.DUMMYFUNCTION("GOOGLETRANSLATE(A684, ""yo"", ""en"")"),"The president's office in the government established the NELFUND program to end the problem of school fees faced by students whose parents are poor.")</f>
        <v>The president's office in the government established the NELFUND program to end the problem of school fees faced by students whose parents are poor.</v>
      </c>
    </row>
    <row r="685" ht="15.75" customHeight="1">
      <c r="A685" s="2" t="s">
        <v>734</v>
      </c>
      <c r="B685" s="2" t="str">
        <f>IFERROR(__xludf.DUMMYFUNCTION("GOOGLETRANSLATE(A685, ""yo"", ""en"")"),"Another thing that the Tinubu government is still investing heavily in is the implementation and payment of #70,000 as the minimum wage for workers.")</f>
        <v>Another thing that the Tinubu government is still investing heavily in is the implementation and payment of #70,000 as the minimum wage for workers.</v>
      </c>
    </row>
    <row r="686" ht="15.75" customHeight="1">
      <c r="A686" s="2" t="s">
        <v>735</v>
      </c>
      <c r="B686" s="2" t="str">
        <f>IFERROR(__xludf.DUMMYFUNCTION("GOOGLETRANSLATE(A686, ""yo"", ""en"")"),"Mr. Dare explained that the monthly salary increase by the Tinubu government has made the workers able to live a good life with a lot of dignity.")</f>
        <v>Mr. Dare explained that the monthly salary increase by the Tinubu government has made the workers able to live a good life with a lot of dignity.</v>
      </c>
    </row>
    <row r="687" ht="15.75" customHeight="1">
      <c r="A687" s="2" t="s">
        <v>736</v>
      </c>
      <c r="B687" s="2" t="str">
        <f>IFERROR(__xludf.DUMMYFUNCTION("GOOGLETRANSLATE(A687, ""yo"", ""en"")"),"The presidential advisor in the federal government is working with the state and local governments to ensure that their employees are also given this opportunity.")</f>
        <v>The presidential advisor in the federal government is working with the state and local governments to ensure that their employees are also given this opportunity.</v>
      </c>
    </row>
    <row r="688" ht="15.75" customHeight="1">
      <c r="A688" s="2" t="s">
        <v>737</v>
      </c>
      <c r="B688" s="2" t="str">
        <f>IFERROR(__xludf.DUMMYFUNCTION("GOOGLETRANSLATE(A688, ""yo"", ""en"")"),"He also said that private sector operators will increase the salary of their workers, which will make the Nigerian economy grow.")</f>
        <v>He also said that private sector operators will increase the salary of their workers, which will make the Nigerian economy grow.</v>
      </c>
    </row>
    <row r="689" ht="15.75" customHeight="1">
      <c r="A689" s="2" t="s">
        <v>738</v>
      </c>
      <c r="B689" s="2" t="str">
        <f>IFERROR(__xludf.DUMMYFUNCTION("GOOGLETRANSLATE(A689, ""yo"", ""en"")"),"Shettima in Jonathan's administration presented him as an enemy of the nation during his four-year administration.")</f>
        <v>Shettima in Jonathan's administration presented him as an enemy of the nation during his four-year administration.</v>
      </c>
    </row>
    <row r="690" ht="15.75" customHeight="1">
      <c r="A690" s="2" t="s">
        <v>739</v>
      </c>
      <c r="B690" s="2" t="str">
        <f>IFERROR(__xludf.DUMMYFUNCTION("GOOGLETRANSLATE(A690, ""yo"", ""en"")"),"Shettima said this while speaking at the launch of a new book, OPL245: Inside Story of the $1.3 Billion Nigerian Oil Block, launched by the former Minister of Justice, Mohammed Bello Adoke, which took place at the Shehu Musa Yar'Adua Centre.")</f>
        <v>Shettima said this while speaking at the launch of a new book, OPL245: Inside Story of the $1.3 Billion Nigerian Oil Block, launched by the former Minister of Justice, Mohammed Bello Adoke, which took place at the Shehu Musa Yar'Adua Centre.</v>
      </c>
    </row>
    <row r="691" ht="15.75" customHeight="1">
      <c r="A691" s="2" t="s">
        <v>740</v>
      </c>
      <c r="B691" s="2" t="str">
        <f>IFERROR(__xludf.DUMMYFUNCTION("GOOGLETRANSLATE(A691, ""yo"", ""en"")"),"Shettima is grateful to former members of the lower house of parliament, Aminu Waziri Tambuwal, and Mohammed Bello Adoke who told President Jonathan that he has no legal power to remove him as governor.")</f>
        <v>Shettima is grateful to former members of the lower house of parliament, Aminu Waziri Tambuwal, and Mohammed Bello Adoke who told President Jonathan that he has no legal power to remove him as governor.</v>
      </c>
    </row>
    <row r="692" ht="15.75" customHeight="1">
      <c r="A692" s="2" t="s">
        <v>741</v>
      </c>
      <c r="B692" s="2" t="str">
        <f>IFERROR(__xludf.DUMMYFUNCTION("GOOGLETRANSLATE(A692, ""yo"", ""en"")"),"In the same way, it is not known that he and Jonathan have finished fighting long ago, and that there is peace between them.")</f>
        <v>In the same way, it is not known that he and Jonathan have finished fighting long ago, and that there is peace between them.</v>
      </c>
    </row>
    <row r="693" ht="15.75" customHeight="1">
      <c r="A693" s="2" t="s">
        <v>742</v>
      </c>
      <c r="B693" s="2" t="str">
        <f>IFERROR(__xludf.DUMMYFUNCTION("GOOGLETRANSLATE(A693, ""yo"", ""en"")"),"The former president, Goodluck Jonathan, with whom I have finished fighting, insisted that I be removed as the governor of Borno state.")</f>
        <v>The former president, Goodluck Jonathan, with whom I have finished fighting, insisted that I be removed as the governor of Borno state.</v>
      </c>
    </row>
    <row r="694" ht="15.75" customHeight="1">
      <c r="A694" s="2" t="s">
        <v>743</v>
      </c>
      <c r="B694" s="2" t="str">
        <f>IFERROR(__xludf.DUMMYFUNCTION("GOOGLETRANSLATE(A694, ""yo"", ""en"")"),"""Tambuwal, the leader of the lower house of parliament once dared to tell the president that he does not have the power to remove me as the governor, he does not have the power to remove the neighboring governor.")</f>
        <v>"Tambuwal, the leader of the lower house of parliament once dared to tell the president that he does not have the power to remove me as the governor, he does not have the power to remove the neighboring governor.</v>
      </c>
    </row>
    <row r="695" ht="15.75" customHeight="1">
      <c r="A695" s="2" t="s">
        <v>744</v>
      </c>
      <c r="B695" s="2" t="str">
        <f>IFERROR(__xludf.DUMMYFUNCTION("GOOGLETRANSLATE(A695, ""yo"", ""en"")"),"However, the president did not agree."" Shettima said many of the presidential councilors opposed the move, until they gave up on the idea of ​​resigning as governor.")</f>
        <v>However, the president did not agree." Shettima said many of the presidential councilors opposed the move, until they gave up on the idea of ​​resigning as governor.</v>
      </c>
    </row>
    <row r="696" ht="15.75" customHeight="1">
      <c r="A696" s="2" t="s">
        <v>745</v>
      </c>
      <c r="B696" s="2" t="str">
        <f>IFERROR(__xludf.DUMMYFUNCTION("GOOGLETRANSLATE(A696, ""yo"", ""en"")"),"He added that the experience he had was that he did not have a long association with Adoke and Tambuwal.")</f>
        <v>He added that the experience he had was that he did not have a long association with Adoke and Tambuwal.</v>
      </c>
    </row>
    <row r="697" ht="15.75" customHeight="1">
      <c r="A697" s="2" t="s">
        <v>746</v>
      </c>
      <c r="B697" s="2" t="str">
        <f>IFERROR(__xludf.DUMMYFUNCTION("GOOGLETRANSLATE(A697, ""yo"", ""en"")"),"There were many enthusiastic people at the book launch.")</f>
        <v>There were many enthusiastic people at the book launch.</v>
      </c>
    </row>
    <row r="698" ht="15.75" customHeight="1">
      <c r="A698" s="2" t="s">
        <v>747</v>
      </c>
      <c r="B698" s="2" t="str">
        <f>IFERROR(__xludf.DUMMYFUNCTION("GOOGLETRANSLATE(A698, ""yo"", ""en"")"),"Kashim Ibrahim Shetima is a banker and politician.")</f>
        <v>Kashim Ibrahim Shetima is a banker and politician.</v>
      </c>
    </row>
    <row r="699" ht="15.75" customHeight="1">
      <c r="A699" s="2" t="s">
        <v>748</v>
      </c>
      <c r="B699" s="2" t="str">
        <f>IFERROR(__xludf.DUMMYFUNCTION("GOOGLETRANSLATE(A699, ""yo"", ""en"")"),"He is the judge currently representing Borono state in the House of Representatives.")</f>
        <v>He is the judge currently representing Borono state in the House of Representatives.</v>
      </c>
    </row>
    <row r="700" ht="15.75" customHeight="1">
      <c r="A700" s="2" t="s">
        <v>749</v>
      </c>
      <c r="B700" s="2" t="str">
        <f>IFERROR(__xludf.DUMMYFUNCTION("GOOGLETRANSLATE(A700, ""yo"", ""en"")"),"Shettima has held the position of governor twice in Borno state from 2011 to 2019.")</f>
        <v>Shettima has held the position of governor twice in Borno state from 2011 to 2019.</v>
      </c>
    </row>
    <row r="701" ht="15.75" customHeight="1">
      <c r="A701" s="2" t="s">
        <v>750</v>
      </c>
      <c r="B701" s="2" t="str">
        <f>IFERROR(__xludf.DUMMYFUNCTION("GOOGLETRANSLATE(A701, ""yo"", ""en"")"),"He holds a Bachelor's and Master's Degree from the University of Maiduguri and the University of Ibadan.")</f>
        <v>He holds a Bachelor's and Master's Degree from the University of Maiduguri and the University of Ibadan.</v>
      </c>
    </row>
    <row r="702" ht="15.75" customHeight="1">
      <c r="A702" s="2" t="s">
        <v>751</v>
      </c>
      <c r="B702" s="2" t="str">
        <f>IFERROR(__xludf.DUMMYFUNCTION("GOOGLETRANSLATE(A702, ""yo"", ""en"")"),"After graduating, he started investing and working in a banking company, and reached a leadership position.")</f>
        <v>After graduating, he started investing and working in a banking company, and reached a leadership position.</v>
      </c>
    </row>
    <row r="703" ht="15.75" customHeight="1">
      <c r="A703" s="2" t="s">
        <v>752</v>
      </c>
      <c r="B703" s="2" t="str">
        <f>IFERROR(__xludf.DUMMYFUNCTION("GOOGLETRANSLATE(A703, ""yo"", ""en"")"),"In about 2000, he became the CEO of Zenith Bank in Maiduguri before resigning to start working in the government of Governor Ali Modu Sheriff in 2007.")</f>
        <v>In about 2000, he became the CEO of Zenith Bank in Maiduguri before resigning to start working in the government of Governor Ali Modu Sheriff in 2007.</v>
      </c>
    </row>
    <row r="704" ht="15.75" customHeight="1">
      <c r="A704" s="2" t="s">
        <v>753</v>
      </c>
      <c r="B704" s="2" t="str">
        <f>IFERROR(__xludf.DUMMYFUNCTION("GOOGLETRANSLATE(A704, ""yo"", ""en"")"),"He then spent four years as governor in 2011, and ran for the presidency in 2015.")</f>
        <v>He then spent four years as governor in 2011, and ran for the presidency in 2015.</v>
      </c>
    </row>
    <row r="705" ht="15.75" customHeight="1">
      <c r="A705" s="2" t="s">
        <v>754</v>
      </c>
      <c r="B705" s="2" t="str">
        <f>IFERROR(__xludf.DUMMYFUNCTION("GOOGLETRANSLATE(A705, ""yo"", ""en"")"),"With the way Nigerian politicians are leaving one party to the other, Nigerians are now telling the Governor of Osun state, Ademola Adeleke, that he too has saved history by leaving the PDP to APC.")</f>
        <v>With the way Nigerian politicians are leaving one party to the other, Nigerians are now telling the Governor of Osun state, Ademola Adeleke, that he too has saved history by leaving the PDP to APC.</v>
      </c>
    </row>
    <row r="706" ht="15.75" customHeight="1">
      <c r="A706" s="2" t="s">
        <v>755</v>
      </c>
      <c r="B706" s="2" t="str">
        <f>IFERROR(__xludf.DUMMYFUNCTION("GOOGLETRANSLATE(A706, ""yo"", ""en"")"),"In fact, some people are the light that wants to enter the darkness in Osun state which means that governor Adeleke, known to many as Light, wants to go somewhere else.")</f>
        <v>In fact, some people are the light that wants to enter the darkness in Osun state which means that governor Adeleke, known to many as Light, wants to go somewhere else.</v>
      </c>
    </row>
    <row r="707" ht="15.75" customHeight="1">
      <c r="A707" s="2" t="s">
        <v>756</v>
      </c>
      <c r="B707" s="2" t="str">
        <f>IFERROR(__xludf.DUMMYFUNCTION("GOOGLETRANSLATE(A707, ""yo"", ""en"")"),"With how Nigerians came to make noise that he wants to leave one party to another, the Governor of Osun state, Ademola Adeleke, has said why he is leaving his side.")</f>
        <v>With how Nigerians came to make noise that he wants to leave one party to another, the Governor of Osun state, Ademola Adeleke, has said why he is leaving his side.</v>
      </c>
    </row>
    <row r="708" ht="15.75" customHeight="1">
      <c r="A708" s="2" t="s">
        <v>757</v>
      </c>
      <c r="B708" s="2" t="str">
        <f>IFERROR(__xludf.DUMMYFUNCTION("GOOGLETRANSLATE(A708, ""yo"", ""en"")"),"In a statement made to his X column on Saturday, the fifth day of July 2025, Adeleke, also known as Light, announced that he is still loyal to the PDP in Osun state.")</f>
        <v>In a statement made to his X column on Saturday, the fifth day of July 2025, Adeleke, also known as Light, announced that he is still loyal to the PDP in Osun state.</v>
      </c>
    </row>
    <row r="709" ht="15.75" customHeight="1">
      <c r="A709" s="2" t="s">
        <v>758</v>
      </c>
      <c r="B709" s="2" t="str">
        <f>IFERROR(__xludf.DUMMYFUNCTION("GOOGLETRANSLATE(A709, ""yo"", ""en"")"),"''I want to assure you people of Osun state, that I am still a true PDP member.")</f>
        <v>''I want to assure you people of Osun state, that I am still a true PDP member.</v>
      </c>
    </row>
    <row r="710" ht="15.75" customHeight="1">
      <c r="A710" s="2" t="s">
        <v>759</v>
      </c>
      <c r="B710" s="2" t="str">
        <f>IFERROR(__xludf.DUMMYFUNCTION("GOOGLETRANSLATE(A710, ""yo"", ""en"")"),"There is no catch'' Governor Adeleke announced.")</f>
        <v>There is no catch'' Governor Adeleke announced.</v>
      </c>
    </row>
    <row r="711" ht="15.75" customHeight="1">
      <c r="A711" s="2" t="s">
        <v>760</v>
      </c>
      <c r="B711" s="2" t="str">
        <f>IFERROR(__xludf.DUMMYFUNCTION("GOOGLETRANSLATE(A711, ""yo"", ""en"")"),"He has a goal he has not changed, as he will bring the five points he promised to the people of Osun to come true, he is strong.")</f>
        <v>He has a goal he has not changed, as he will bring the five points he promised to the people of Osun to come true, he is strong.</v>
      </c>
    </row>
    <row r="712" ht="15.75" customHeight="1">
      <c r="A712" s="2" t="s">
        <v>761</v>
      </c>
      <c r="B712" s="2" t="str">
        <f>IFERROR(__xludf.DUMMYFUNCTION("GOOGLETRANSLATE(A712, ""yo"", ""en"")"),"Adeleke added that no one should believe that he has left the PDP.")</f>
        <v>Adeleke added that no one should believe that he has left the PDP.</v>
      </c>
    </row>
    <row r="713" ht="15.75" customHeight="1">
      <c r="A713" s="2" t="s">
        <v>762</v>
      </c>
      <c r="B713" s="2" t="str">
        <f>IFERROR(__xludf.DUMMYFUNCTION("GOOGLETRANSLATE(A713, ""yo"", ""en"")"),"He asked them to support his government.")</f>
        <v>He asked them to support his government.</v>
      </c>
    </row>
    <row r="714" ht="15.75" customHeight="1">
      <c r="A714" s="2" t="s">
        <v>763</v>
      </c>
      <c r="B714" s="2" t="str">
        <f>IFERROR(__xludf.DUMMYFUNCTION("GOOGLETRANSLATE(A714, ""yo"", ""en"")"),"Various changes are taking place in Nigerian politics now, with the emergence of new political parties in preparation for the 2027 election.")</f>
        <v>Various changes are taking place in Nigerian politics now, with the emergence of new political parties in preparation for the 2027 election.</v>
      </c>
    </row>
    <row r="715" ht="15.75" customHeight="1">
      <c r="A715" s="2" t="s">
        <v>764</v>
      </c>
      <c r="B715" s="2" t="str">
        <f>IFERROR(__xludf.DUMMYFUNCTION("GOOGLETRANSLATE(A715, ""yo"", ""en"")"),"This leads some people to leave the group that brought them up, and join another group.")</f>
        <v>This leads some people to leave the group that brought them up, and join another group.</v>
      </c>
    </row>
    <row r="716" ht="15.75" customHeight="1">
      <c r="A716" s="2" t="s">
        <v>765</v>
      </c>
      <c r="B716" s="2" t="str">
        <f>IFERROR(__xludf.DUMMYFUNCTION("GOOGLETRANSLATE(A716, ""yo"", ""en"")"),"The argument of the opposition groups is that Nigeria should not become a political partner country.")</f>
        <v>The argument of the opposition groups is that Nigeria should not become a political partner country.</v>
      </c>
    </row>
    <row r="717" ht="15.75" customHeight="1">
      <c r="A717" s="2" t="s">
        <v>766</v>
      </c>
      <c r="B717" s="2" t="str">
        <f>IFERROR(__xludf.DUMMYFUNCTION("GOOGLETRANSLATE(A717, ""yo"", ""en"")"),"They added that this is what the APC party and President Bola Tinubu want, but they do not have it.")</f>
        <v>They added that this is what the APC party and President Bola Tinubu want, but they do not have it.</v>
      </c>
    </row>
    <row r="718" ht="15.75" customHeight="1">
      <c r="A718" s="2" t="s">
        <v>767</v>
      </c>
      <c r="B718" s="2" t="str">
        <f>IFERROR(__xludf.DUMMYFUNCTION("GOOGLETRANSLATE(A718, ""yo"", ""en"")"),"So the APC should not say that the second day of the market will be empty if the opposition will come in the 2027 election.")</f>
        <v>So the APC should not say that the second day of the market will be empty if the opposition will come in the 2027 election.</v>
      </c>
    </row>
    <row r="719" ht="15.75" customHeight="1">
      <c r="A719" s="2" t="s">
        <v>768</v>
      </c>
      <c r="B719" s="2" t="str">
        <f>IFERROR(__xludf.DUMMYFUNCTION("GOOGLETRANSLATE(A719, ""yo"", ""en"")"),"This step has started a few days ago and as they are moving these people, they are moving them to the mobile court, and they are being judged immediately.")</f>
        <v>This step has started a few days ago and as they are moving these people, they are moving them to the mobile court, and they are being judged immediately.</v>
      </c>
    </row>
    <row r="720" ht="15.75" customHeight="1">
      <c r="A720" s="2" t="s">
        <v>769</v>
      </c>
      <c r="B720" s="2" t="str">
        <f>IFERROR(__xludf.DUMMYFUNCTION("GOOGLETRANSLATE(A720, ""yo"", ""en"")"),"As some people see the prison as a community service, in a report online to see that, the commissioner for development, (Social Development) for the state, Hajia Mariam Nnafatima-Imam, went ahead of the government's accusations to expel all the perpetrato"&amp;"rs.")</f>
        <v>As some people see the prison as a community service, in a report online to see that, the commissioner for development, (Social Development) for the state, Hajia Mariam Nnafatima-Imam, went ahead of the government's accusations to expel all the perpetrators.</v>
      </c>
    </row>
    <row r="721" ht="15.75" customHeight="1">
      <c r="A721" s="2" t="s">
        <v>770</v>
      </c>
      <c r="B721" s="2" t="str">
        <f>IFERROR(__xludf.DUMMYFUNCTION("GOOGLETRANSLATE(A721, ""yo"", ""en"")"),"However, according to the report, it has reached the age of 66 and the men and women who know the children have been banned since the government started taking action.")</f>
        <v>However, according to the report, it has reached the age of 66 and the men and women who know the children have been banned since the government started taking action.</v>
      </c>
    </row>
    <row r="722" ht="15.75" customHeight="1">
      <c r="A722" s="2" t="s">
        <v>771</v>
      </c>
      <c r="B722" s="2" t="str">
        <f>IFERROR(__xludf.DUMMYFUNCTION("GOOGLETRANSLATE(A722, ""yo"", ""en"")"),"On Monday, the first day of July, BBC Yoruba contacted the development planning department to find out the exact reason why the residents were being evicted, and to know whether the move violated their rights or not.")</f>
        <v>On Monday, the first day of July, BBC Yoruba contacted the development planning department to find out the exact reason why the residents were being evicted, and to know whether the move violated their rights or not.</v>
      </c>
    </row>
    <row r="723" ht="15.75" customHeight="1">
      <c r="A723" s="2" t="s">
        <v>772</v>
      </c>
      <c r="B723" s="2" t="str">
        <f>IFERROR(__xludf.DUMMYFUNCTION("GOOGLETRANSLATE(A723, ""yo"", ""en"")"),"BBC News Yoruba news on your WhatsApp Join us there End of podcast promotion In a discussion with the department's Permanent Secretary, Senator Ayanwale Peter Kayode said that the people are the powerful, and they also have rights, but the government is s"&amp;"uppressing their rights.")</f>
        <v>BBC News Yoruba news on your WhatsApp Join us there End of podcast promotion In a discussion with the department's Permanent Secretary, Senator Ayanwale Peter Kayode said that the people are the powerful, and they also have rights, but the government is suppressing their rights.</v>
      </c>
    </row>
    <row r="724" ht="15.75" customHeight="1">
      <c r="A724" s="2" t="s">
        <v>773</v>
      </c>
      <c r="B724" s="2" t="str">
        <f>IFERROR(__xludf.DUMMYFUNCTION("GOOGLETRANSLATE(A724, ""yo"", ""en"")"),"""The main reason why the government removed them from the public eye is that, if we look at some areas like Geri-Alimi, Airport, Post Office, Garrage Offa, Tanke and other areas, we will see that these areas are places that the government is looking afte"&amp;"r, and they are investing heavily.")</f>
        <v>"The main reason why the government removed them from the public eye is that, if we look at some areas like Geri-Alimi, Airport, Post Office, Garrage Offa, Tanke and other areas, we will see that these areas are places that the government is looking after, and they are investing heavily.</v>
      </c>
    </row>
    <row r="725" ht="15.75" customHeight="1">
      <c r="A725" s="2" t="s">
        <v>774</v>
      </c>
      <c r="B725" s="2" t="str">
        <f>IFERROR(__xludf.DUMMYFUNCTION("GOOGLETRANSLATE(A725, ""yo"", ""en"")"),"""But their powers, if we look under the Tanke bridge, they have turned that place into a house, many times, they are destroying it with wild animals.")</f>
        <v>"But their powers, if we look under the Tanke bridge, they have turned that place into a house, many times, they are destroying it with wild animals.</v>
      </c>
    </row>
    <row r="726" ht="15.75" customHeight="1">
      <c r="A726" s="2" t="s">
        <v>775</v>
      </c>
      <c r="B726" s="2" t="str">
        <f>IFERROR(__xludf.DUMMYFUNCTION("GOOGLETRANSLATE(A726, ""yo"", ""en"")"),"They also turned the place into a place where people were sleeping because they were begging for help, others were being chased by cars.")</f>
        <v>They also turned the place into a place where people were sleeping because they were begging for help, others were being chased by cars.</v>
      </c>
    </row>
    <row r="727" ht="15.75" customHeight="1">
      <c r="A727" s="2" t="s">
        <v>776</v>
      </c>
      <c r="B727" s="2" t="str">
        <f>IFERROR(__xludf.DUMMYFUNCTION("GOOGLETRANSLATE(A727, ""yo"", ""en"")"),"last year, we caught them, many of them took away dangerous things like knives, swords, various drugs.")</f>
        <v>last year, we caught them, many of them took away dangerous things like knives, swords, various drugs.</v>
      </c>
    </row>
    <row r="728" ht="15.75" customHeight="1">
      <c r="A728" s="2" t="s">
        <v>777</v>
      </c>
      <c r="B728" s="4" t="str">
        <f>IFERROR(__xludf.DUMMYFUNCTION("GOOGLETRANSLATE(A728, ""yo"", ""en"")"),"""What are you doing with a knife, what are you doing with a sword?")</f>
        <v>"What are you doing with a knife, what are you doing with a sword?</v>
      </c>
    </row>
    <row r="729" ht="15.75" customHeight="1">
      <c r="A729" s="2" t="s">
        <v>778</v>
      </c>
      <c r="B729" s="3" t="str">
        <f>IFERROR(__xludf.DUMMYFUNCTION("GOOGLETRANSLATE(A729, ""yo"", ""en"")"),"Many of their things should not go to the police station as evidence.")</f>
        <v>Many of their things should not go to the police station as evidence.</v>
      </c>
    </row>
    <row r="730" ht="15.75" customHeight="1">
      <c r="A730" s="2" t="s">
        <v>779</v>
      </c>
      <c r="B730" s="2" t="str">
        <f>IFERROR(__xludf.DUMMYFUNCTION("GOOGLETRANSLATE(A730, ""yo"", ""en"")"),"""Wings are not the only thing, if we reach our face, many times the ashes are with people as these giants are preparing.")</f>
        <v>"Wings are not the only thing, if we reach our face, many times the ashes are with people as these giants are preparing.</v>
      </c>
    </row>
    <row r="731" ht="15.75" customHeight="1">
      <c r="A731" s="2" t="s">
        <v>776</v>
      </c>
      <c r="B731" s="2" t="str">
        <f>IFERROR(__xludf.DUMMYFUNCTION("GOOGLETRANSLATE(A731, ""yo"", ""en"")"),"last year, we caught them, many of them took away dangerous things like knives, swords, various drugs.")</f>
        <v>last year, we caught them, many of them took away dangerous things like knives, swords, various drugs.</v>
      </c>
    </row>
    <row r="732" ht="15.75" customHeight="1">
      <c r="A732" s="2" t="s">
        <v>777</v>
      </c>
      <c r="B732" s="2" t="str">
        <f>IFERROR(__xludf.DUMMYFUNCTION("GOOGLETRANSLATE(A732, ""yo"", ""en"")"),"""What are you doing with a knife, what are you doing with a sword?")</f>
        <v>"What are you doing with a knife, what are you doing with a sword?</v>
      </c>
    </row>
    <row r="733" ht="15.75" customHeight="1">
      <c r="A733" s="2" t="s">
        <v>778</v>
      </c>
      <c r="B733" s="2" t="str">
        <f>IFERROR(__xludf.DUMMYFUNCTION("GOOGLETRANSLATE(A733, ""yo"", ""en"")"),"Many of their things should not go to the police station as evidence.")</f>
        <v>Many of their things should not go to the police station as evidence.</v>
      </c>
    </row>
    <row r="734" ht="15.75" customHeight="1">
      <c r="A734" s="2" t="s">
        <v>780</v>
      </c>
      <c r="B734" s="2" t="str">
        <f>IFERROR(__xludf.DUMMYFUNCTION("GOOGLETRANSLATE(A734, ""yo"", ""en"")"),"""We have met with their leaders many times and we have been aware of the government's decision, which they agree with.")</f>
        <v>"We have met with their leaders many times and we have been aware of the government's decision, which they agree with.</v>
      </c>
    </row>
    <row r="735" ht="15.75" customHeight="1">
      <c r="A735" s="2" t="s">
        <v>781</v>
      </c>
      <c r="B735" s="2" t="str">
        <f>IFERROR(__xludf.DUMMYFUNCTION("GOOGLETRANSLATE(A735, ""yo"", ""en"")"),"""We told them to stay in the areas of the royal market to Gambari, up to Ipata, and we reassured them that we will contact them with the things that the government is doing, and we are doing it accordingly.")</f>
        <v>"We told them to stay in the areas of the royal market to Gambari, up to Ipata, and we reassured them that we will contact them with the things that the government is doing, and we are doing it accordingly.</v>
      </c>
    </row>
    <row r="736" ht="15.75" customHeight="1">
      <c r="A736" s="2" t="s">
        <v>782</v>
      </c>
      <c r="B736" s="2" t="str">
        <f>IFERROR(__xludf.DUMMYFUNCTION("ARRAYFORMULA(GOOGLETRANSLATE(A736:A1368,""yo"",""en""))"),"""We are still doing this because those who are lapa, who are walking, who are doing something, the government is just going to teach them or not to stumble, or just to go wrong, the government has provided a place to learn about the machine and they will"&amp;" provide free things to those who want to go wrong.")</f>
        <v>"We are still doing this because those who are lapa, who are walking, who are doing something, the government is just going to teach them or not to stumble, or just to go wrong, the government has provided a place to learn about the machine and they will provide free things to those who want to go wrong.</v>
      </c>
    </row>
    <row r="737" ht="15.75" customHeight="1">
      <c r="A737" s="2" t="s">
        <v>783</v>
      </c>
      <c r="B737" s="2" t="str">
        <f>IFERROR(__xludf.DUMMYFUNCTION("GOOGLETRANSLATE(A737, ""yo"", ""en"")"),"""For this reason, I will find an excuse for those who are on foot to beg each other.")</f>
        <v>"For this reason, I will find an excuse for those who are on foot to beg each other.</v>
      </c>
    </row>
    <row r="738" ht="15.75" customHeight="1">
      <c r="A738" s="2" t="s">
        <v>784</v>
      </c>
      <c r="B738" s="2" t="str">
        <f>IFERROR(__xludf.DUMMYFUNCTION("GOOGLETRANSLATE(A738, ""yo"", ""en"")"),"""The ones we are arresting and going to court are those who have been arrested many times and are kicking the law.")</f>
        <v>"The ones we are arresting and going to court are those who have been arrested many times and are kicking the law.</v>
      </c>
    </row>
    <row r="739" ht="15.75" customHeight="1">
      <c r="A739" s="2" t="s">
        <v>785</v>
      </c>
      <c r="B739" s="2" t="str">
        <f>IFERROR(__xludf.DUMMYFUNCTION("GOOGLETRANSLATE(A739, ""yo"", ""en"")"),"""Their punishment in the court depends on how big their feet are, the court sends some to prison, and others are just community service.")</f>
        <v>"Their punishment in the court depends on how big their feet are, the court sends some to prison, and others are just community service.</v>
      </c>
    </row>
    <row r="740" ht="15.75" customHeight="1">
      <c r="A740" s="2" t="s">
        <v>786</v>
      </c>
      <c r="B740" s="2" t="str">
        <f>IFERROR(__xludf.DUMMYFUNCTION("GOOGLETRANSLATE(A740, ""yo"", ""en"")"),"What the government is saying is that those who want power in the areas I have mentioned before, but there is no foothold if they are in the government's places.")</f>
        <v>What the government is saying is that those who want power in the areas I have mentioned before, but there is no foothold if they are in the government's places.</v>
      </c>
    </row>
    <row r="741" ht="15.75" customHeight="1">
      <c r="A741" s="2" t="s">
        <v>787</v>
      </c>
      <c r="B741" s="2" t="str">
        <f>IFERROR(__xludf.DUMMYFUNCTION("GOOGLETRANSLATE(A741, ""yo"", ""en"")"),"This is happening as Peter Obi joined the opposition coalitions who announced that they will use the African Democratic Congress, ADC as a political party to oppose President Bola Tinubu at the 2027 election.")</f>
        <v>This is happening as Peter Obi joined the opposition coalitions who announced that they will use the African Democratic Congress, ADC as a political party to oppose President Bola Tinubu at the 2027 election.</v>
      </c>
    </row>
    <row r="742" ht="15.75" customHeight="1">
      <c r="A742" s="2" t="s">
        <v>788</v>
      </c>
      <c r="B742" s="2" t="str">
        <f>IFERROR(__xludf.DUMMYFUNCTION("GOOGLETRANSLATE(A742, ""yo"", ""en"")"),"Earlier, Peter Obi had said that the ADC political party will make sure that they will put Nigerians first in everything they do.")</f>
        <v>Earlier, Peter Obi had said that the ADC political party will make sure that they will put Nigerians first in everything they do.</v>
      </c>
    </row>
    <row r="743" ht="15.75" customHeight="1">
      <c r="A743" s="2" t="s">
        <v>789</v>
      </c>
      <c r="B743" s="2" t="str">
        <f>IFERROR(__xludf.DUMMYFUNCTION("GOOGLETRANSLATE(A743, ""yo"", ""en"")"),"He said this after he was at the meeting where the ADC political party was announced as the party to succeed Tinubu as president in 2027.")</f>
        <v>He said this after he was at the meeting where the ADC political party was announced as the party to succeed Tinubu as president in 2027.</v>
      </c>
    </row>
    <row r="744" ht="15.75" customHeight="1">
      <c r="A744" s="2" t="s">
        <v>790</v>
      </c>
      <c r="B744" s="2" t="str">
        <f>IFERROR(__xludf.DUMMYFUNCTION("GOOGLETRANSLATE(A446, ""yo"", ""en"")"),"Similarly, the ruling party will do whatever it wants.")</f>
        <v>Similarly, the ruling party will do whatever it wants.</v>
      </c>
    </row>
    <row r="745" ht="15.75" customHeight="1">
      <c r="A745" s="2" t="s">
        <v>791</v>
      </c>
      <c r="B745" s="2" t="str">
        <f>IFERROR(__xludf.DUMMYFUNCTION("GOOGLETRANSLATE(A745, ""yo"", ""en"")"),"It comes from thinking about the Nigerian nation and the way we need to take to move Nigeria forward.")</f>
        <v>It comes from thinking about the Nigerian nation and the way we need to take to move Nigeria forward.</v>
      </c>
    </row>
    <row r="746" ht="15.75" customHeight="1">
      <c r="A746" s="2" t="s">
        <v>792</v>
      </c>
      <c r="B746" s="2" t="s">
        <v>3</v>
      </c>
    </row>
    <row r="747" ht="15.75" customHeight="1">
      <c r="A747" s="2" t="s">
        <v>793</v>
      </c>
      <c r="B747" s="2" t="s">
        <v>5</v>
      </c>
    </row>
    <row r="748" ht="15.75" customHeight="1">
      <c r="A748" s="2" t="s">
        <v>794</v>
      </c>
      <c r="B748" s="3" t="s">
        <v>7</v>
      </c>
    </row>
    <row r="749" ht="15.75" customHeight="1">
      <c r="A749" s="2" t="s">
        <v>795</v>
      </c>
      <c r="B749" s="2" t="s">
        <v>9</v>
      </c>
    </row>
    <row r="750" ht="15.75" customHeight="1">
      <c r="A750" s="2" t="s">
        <v>796</v>
      </c>
      <c r="B750" s="2" t="s">
        <v>11</v>
      </c>
    </row>
    <row r="751" ht="15.75" customHeight="1">
      <c r="A751" s="2" t="s">
        <v>797</v>
      </c>
      <c r="B751" s="2" t="s">
        <v>13</v>
      </c>
    </row>
    <row r="752" ht="15.75" customHeight="1">
      <c r="A752" s="2" t="s">
        <v>798</v>
      </c>
      <c r="B752" s="2" t="s">
        <v>15</v>
      </c>
    </row>
    <row r="753" ht="15.75" customHeight="1">
      <c r="A753" s="2" t="s">
        <v>799</v>
      </c>
      <c r="B753" s="2" t="s">
        <v>17</v>
      </c>
    </row>
    <row r="754" ht="15.75" customHeight="1">
      <c r="A754" s="2" t="s">
        <v>800</v>
      </c>
      <c r="B754" s="2" t="s">
        <v>19</v>
      </c>
    </row>
    <row r="755" ht="15.75" customHeight="1">
      <c r="A755" s="2" t="s">
        <v>801</v>
      </c>
      <c r="B755" s="2" t="s">
        <v>21</v>
      </c>
    </row>
    <row r="756" ht="15.75" customHeight="1">
      <c r="A756" s="2" t="s">
        <v>802</v>
      </c>
      <c r="B756" s="2" t="s">
        <v>23</v>
      </c>
    </row>
    <row r="757" ht="15.75" customHeight="1">
      <c r="A757" s="2" t="s">
        <v>803</v>
      </c>
      <c r="B757" s="2" t="s">
        <v>25</v>
      </c>
    </row>
    <row r="758" ht="15.75" customHeight="1">
      <c r="A758" s="2" t="s">
        <v>804</v>
      </c>
      <c r="B758" s="2" t="s">
        <v>27</v>
      </c>
    </row>
    <row r="759" ht="15.75" customHeight="1">
      <c r="A759" s="2" t="s">
        <v>805</v>
      </c>
      <c r="B759" s="2" t="str">
        <f>IFERROR(__xludf.DUMMYFUNCTION("GOOGLETRANSLATE(A759, ""yo"", ""en"")"),"According to Dr. Gbade Ojo, there is a law related to the electoral process in Nigeria, the ""Electoral Act"" which states that if a political party does not support a person, there is an opportunity to write to leave the party.")</f>
        <v>According to Dr. Gbade Ojo, there is a law related to the electoral process in Nigeria, the "Electoral Act" which states that if a political party does not support a person, there is an opportunity to write to leave the party.</v>
      </c>
    </row>
    <row r="760" ht="15.75" customHeight="1">
      <c r="A760" s="2" t="s">
        <v>806</v>
      </c>
      <c r="B760" s="2" t="s">
        <v>30</v>
      </c>
    </row>
    <row r="761" ht="15.75" customHeight="1">
      <c r="A761" s="2" t="s">
        <v>807</v>
      </c>
      <c r="B761" s="2" t="s">
        <v>32</v>
      </c>
    </row>
    <row r="762" ht="15.75" customHeight="1">
      <c r="A762" s="2" t="s">
        <v>808</v>
      </c>
      <c r="B762" s="2" t="s">
        <v>34</v>
      </c>
    </row>
    <row r="763" ht="15.75" customHeight="1">
      <c r="A763" s="2" t="s">
        <v>809</v>
      </c>
      <c r="B763" s="2" t="s">
        <v>36</v>
      </c>
    </row>
    <row r="764" ht="15.75" customHeight="1">
      <c r="A764" s="2" t="s">
        <v>810</v>
      </c>
      <c r="B764" s="2" t="s">
        <v>38</v>
      </c>
    </row>
    <row r="765" ht="15.75" customHeight="1">
      <c r="A765" s="2" t="s">
        <v>811</v>
      </c>
      <c r="B765" s="2" t="s">
        <v>40</v>
      </c>
    </row>
    <row r="766" ht="15.75" customHeight="1">
      <c r="A766" s="2" t="s">
        <v>812</v>
      </c>
      <c r="B766" s="2" t="s">
        <v>42</v>
      </c>
    </row>
    <row r="767" ht="15.75" customHeight="1">
      <c r="A767" s="2" t="s">
        <v>813</v>
      </c>
      <c r="B767" s="2" t="s">
        <v>44</v>
      </c>
    </row>
    <row r="768" ht="15.75" customHeight="1">
      <c r="A768" s="2" t="s">
        <v>814</v>
      </c>
      <c r="B768" s="2" t="s">
        <v>46</v>
      </c>
    </row>
    <row r="769" ht="15.75" customHeight="1">
      <c r="A769" s="2" t="s">
        <v>815</v>
      </c>
      <c r="B769" s="2" t="s">
        <v>48</v>
      </c>
    </row>
    <row r="770" ht="15.75" customHeight="1">
      <c r="A770" s="2" t="s">
        <v>816</v>
      </c>
      <c r="B770" s="2" t="s">
        <v>50</v>
      </c>
    </row>
    <row r="771" ht="15.75" customHeight="1">
      <c r="A771" s="2" t="s">
        <v>817</v>
      </c>
      <c r="B771" s="2" t="s">
        <v>52</v>
      </c>
    </row>
    <row r="772" ht="15.75" customHeight="1">
      <c r="A772" s="2" t="s">
        <v>818</v>
      </c>
      <c r="B772" s="2" t="s">
        <v>54</v>
      </c>
    </row>
    <row r="773" ht="15.75" customHeight="1">
      <c r="A773" s="2" t="s">
        <v>819</v>
      </c>
      <c r="B773" s="2" t="s">
        <v>56</v>
      </c>
    </row>
    <row r="774" ht="15.75" customHeight="1">
      <c r="A774" s="2" t="s">
        <v>820</v>
      </c>
      <c r="B774" s="2" t="s">
        <v>58</v>
      </c>
    </row>
    <row r="775" ht="15.75" customHeight="1">
      <c r="A775" s="2" t="s">
        <v>821</v>
      </c>
      <c r="B775" s="2" t="s">
        <v>822</v>
      </c>
    </row>
    <row r="776" ht="15.75" customHeight="1">
      <c r="A776" s="2" t="s">
        <v>823</v>
      </c>
      <c r="B776" s="2" t="str">
        <f>IFERROR(__xludf.DUMMYFUNCTION("GOOGLETRANSLATE(A776, ""yo"", ""en"")"),"He added that according to the law, when they hold a group conference, the appointment of people to the position of authority takes place and that those who are appointed to this position are just as if they had been appointed before the conference.")</f>
        <v>He added that according to the law, when they hold a group conference, the appointment of people to the position of authority takes place and that those who are appointed to this position are just as if they had been appointed before the conference.</v>
      </c>
    </row>
    <row r="777" ht="15.75" customHeight="1">
      <c r="A777" s="2" t="s">
        <v>824</v>
      </c>
      <c r="B777" s="2" t="s">
        <v>63</v>
      </c>
    </row>
    <row r="778" ht="15.75" customHeight="1">
      <c r="A778" s="2" t="s">
        <v>825</v>
      </c>
      <c r="B778" s="2" t="s">
        <v>65</v>
      </c>
    </row>
    <row r="779" ht="15.75" customHeight="1">
      <c r="A779" s="2" t="s">
        <v>826</v>
      </c>
      <c r="B779" s="2" t="s">
        <v>67</v>
      </c>
    </row>
    <row r="780" ht="15.75" customHeight="1">
      <c r="A780" s="2" t="s">
        <v>802</v>
      </c>
      <c r="B780" s="2" t="s">
        <v>69</v>
      </c>
    </row>
    <row r="781" ht="15.75" customHeight="1">
      <c r="A781" s="2" t="s">
        <v>803</v>
      </c>
      <c r="B781" s="2" t="s">
        <v>71</v>
      </c>
    </row>
    <row r="782" ht="15.75" customHeight="1">
      <c r="A782" s="2" t="s">
        <v>804</v>
      </c>
      <c r="B782" s="2" t="s">
        <v>73</v>
      </c>
    </row>
    <row r="783" ht="15.75" customHeight="1">
      <c r="A783" s="2" t="s">
        <v>827</v>
      </c>
      <c r="B783" s="2" t="s">
        <v>75</v>
      </c>
    </row>
    <row r="784" ht="15.75" customHeight="1">
      <c r="A784" s="2" t="s">
        <v>806</v>
      </c>
      <c r="B784" s="2" t="str">
        <f>IFERROR(__xludf.DUMMYFUNCTION("GOOGLETRANSLATE(A784, ""yo"", ""en"")"),"He said that even though the law does not allow a person to be a member of two political parties, a person can burn a yam and use a knife.")</f>
        <v>He said that even though the law does not allow a person to be a member of two political parties, a person can burn a yam and use a knife.</v>
      </c>
    </row>
    <row r="785" ht="15.75" customHeight="1">
      <c r="A785" s="2" t="s">
        <v>807</v>
      </c>
      <c r="B785" s="2" t="s">
        <v>78</v>
      </c>
    </row>
    <row r="786" ht="15.75" customHeight="1">
      <c r="A786" s="2" t="s">
        <v>808</v>
      </c>
      <c r="B786" s="2" t="s">
        <v>80</v>
      </c>
    </row>
    <row r="787" ht="15.75" customHeight="1">
      <c r="A787" s="2" t="s">
        <v>809</v>
      </c>
      <c r="B787" s="2" t="s">
        <v>82</v>
      </c>
    </row>
    <row r="788" ht="15.75" customHeight="1">
      <c r="A788" s="2" t="s">
        <v>810</v>
      </c>
      <c r="B788" s="2" t="s">
        <v>84</v>
      </c>
    </row>
    <row r="789" ht="15.75" customHeight="1">
      <c r="A789" s="2" t="s">
        <v>811</v>
      </c>
      <c r="B789" s="2" t="s">
        <v>86</v>
      </c>
    </row>
    <row r="790" ht="15.75" customHeight="1">
      <c r="A790" s="2" t="s">
        <v>812</v>
      </c>
      <c r="B790" s="2" t="s">
        <v>88</v>
      </c>
    </row>
    <row r="791" ht="15.75" customHeight="1">
      <c r="A791" s="2" t="s">
        <v>828</v>
      </c>
      <c r="B791" s="2" t="s">
        <v>90</v>
      </c>
    </row>
    <row r="792" ht="15.75" customHeight="1">
      <c r="A792" s="2" t="s">
        <v>829</v>
      </c>
      <c r="B792" s="2" t="s">
        <v>92</v>
      </c>
    </row>
    <row r="793" ht="15.75" customHeight="1">
      <c r="A793" s="2" t="s">
        <v>830</v>
      </c>
      <c r="B793" s="2" t="s">
        <v>94</v>
      </c>
    </row>
    <row r="794" ht="15.75" customHeight="1">
      <c r="A794" s="2" t="s">
        <v>831</v>
      </c>
      <c r="B794" s="2" t="s">
        <v>96</v>
      </c>
    </row>
    <row r="795" ht="15.75" customHeight="1">
      <c r="A795" s="2" t="s">
        <v>832</v>
      </c>
      <c r="B795" s="2" t="s">
        <v>98</v>
      </c>
    </row>
    <row r="796" ht="15.75" customHeight="1">
      <c r="A796" s="2" t="s">
        <v>833</v>
      </c>
      <c r="B796" s="2" t="s">
        <v>100</v>
      </c>
    </row>
    <row r="797" ht="15.75" customHeight="1">
      <c r="A797" s="2" t="s">
        <v>834</v>
      </c>
      <c r="B797" s="2" t="str">
        <f>IFERROR(__xludf.DUMMYFUNCTION("GOOGLETRANSLATE(A797, ""yo"", ""en"")"),"The rift between Adegboyega Oyetola who was the governor of Osun after Aregbesola is one of the reasons for the lack of unity between him and Tinubu.")</f>
        <v>The rift between Adegboyega Oyetola who was the governor of Osun after Aregbesola is one of the reasons for the lack of unity between him and Tinubu.</v>
      </c>
    </row>
    <row r="798" ht="15.75" customHeight="1">
      <c r="A798" s="2" t="s">
        <v>835</v>
      </c>
      <c r="B798" s="2" t="s">
        <v>103</v>
      </c>
    </row>
    <row r="799" ht="15.75" customHeight="1">
      <c r="A799" s="2" t="s">
        <v>836</v>
      </c>
      <c r="B799" s="2" t="s">
        <v>105</v>
      </c>
    </row>
    <row r="800" ht="15.75" customHeight="1">
      <c r="A800" s="2" t="s">
        <v>837</v>
      </c>
      <c r="B800" s="2" t="str">
        <f>IFERROR(__xludf.DUMMYFUNCTION("GOOGLETRANSLATE(A800, ""yo"", ""en"")"),"He was one of the leaders who formed the New-PDP that year before they joined the APC before the general election but returned to the PDP and is a presidential candidate in 2019 and 2023.")</f>
        <v>He was one of the leaders who formed the New-PDP that year before they joined the APC before the general election but returned to the PDP and is a presidential candidate in 2019 and 2023.</v>
      </c>
    </row>
    <row r="801" ht="15.75" customHeight="1">
      <c r="A801" s="2" t="s">
        <v>838</v>
      </c>
      <c r="B801" s="2" t="str">
        <f>IFERROR(__xludf.DUMMYFUNCTION("GOOGLETRANSLATE(A801, ""yo"", ""en"")"),"The candidate for the presidency in 2023 with the Labor Party, LP, Peter Obi is among those who founded this new party.")</f>
        <v>The candidate for the presidency in 2023 with the Labor Party, LP, Peter Obi is among those who founded this new party.</v>
      </c>
    </row>
    <row r="802" ht="15.75" customHeight="1">
      <c r="A802" s="2" t="s">
        <v>839</v>
      </c>
      <c r="B802" s="2" t="str">
        <f>IFERROR(__xludf.DUMMYFUNCTION("GOOGLETRANSLATE(A802, ""yo"", ""en"")"),"Peter Obi was the governor of Anambra state for two terms between 2006 and 2014.")</f>
        <v>Peter Obi was the governor of Anambra state for two terms between 2006 and 2014.</v>
      </c>
    </row>
    <row r="803" ht="15.75" customHeight="1">
      <c r="A803" s="2" t="s">
        <v>840</v>
      </c>
      <c r="B803" s="4" t="s">
        <v>110</v>
      </c>
    </row>
    <row r="804" ht="15.75" customHeight="1">
      <c r="A804" s="2" t="s">
        <v>841</v>
      </c>
      <c r="B804" s="2" t="str">
        <f>IFERROR(__xludf.DUMMYFUNCTION("GOOGLETRANSLATE(A804, ""yo"", ""en"")"),"One of Tinubu's former people was El-Rufai before the conflict between them.")</f>
        <v>One of Tinubu's former people was El-Rufai before the conflict between them.</v>
      </c>
    </row>
    <row r="805" ht="15.75" customHeight="1">
      <c r="A805" s="2" t="s">
        <v>842</v>
      </c>
      <c r="B805" s="2" t="str">
        <f>IFERROR(__xludf.DUMMYFUNCTION("GOOGLETRANSLATE(A805, ""yo"", ""en"")"),"He is one of those whose names were submitted by the president to the parliament for the position of minister but did not sign.")</f>
        <v>He is one of those whose names were submitted by the president to the parliament for the position of minister but did not sign.</v>
      </c>
    </row>
    <row r="806" ht="15.75" customHeight="1">
      <c r="A806" s="2" t="s">
        <v>843</v>
      </c>
      <c r="B806" s="2" t="str">
        <f>IFERROR(__xludf.DUMMYFUNCTION("GOOGLETRANSLATE(A806, ""yo"", ""en"")"),"In March, El-Rufai announced that he had resigned as a member of the APC and joined the SDP.")</f>
        <v>In March, El-Rufai announced that he had resigned as a member of the APC and joined the SDP.</v>
      </c>
    </row>
    <row r="807" ht="15.75" customHeight="1">
      <c r="A807" s="2" t="s">
        <v>844</v>
      </c>
      <c r="B807" s="2" t="str">
        <f>IFERROR(__xludf.DUMMYFUNCTION("GOOGLETRANSLATE(A807, ""yo"", ""en"")"),"El-Rufai, who was the governor of Kaduna state for eight years, is one of the politicians who firmly established this new union.")</f>
        <v>El-Rufai, who was the governor of Kaduna state for eight years, is one of the politicians who firmly established this new union.</v>
      </c>
    </row>
    <row r="808" ht="15.75" customHeight="1">
      <c r="A808" s="2" t="s">
        <v>845</v>
      </c>
      <c r="B808" s="2" t="str">
        <f>IFERROR(__xludf.DUMMYFUNCTION("GOOGLETRANSLATE(A808, ""yo"", ""en"")"),"Tambuwal served in parliament before becoming governor of Sokoto state where he served for two terms.")</f>
        <v>Tambuwal served in parliament before becoming governor of Sokoto state where he served for two terms.</v>
      </c>
    </row>
    <row r="809" ht="15.75" customHeight="1">
      <c r="A809" s="2" t="s">
        <v>846</v>
      </c>
      <c r="B809" s="2" t="str">
        <f>IFERROR(__xludf.DUMMYFUNCTION("GOOGLETRANSLATE(A809, ""yo"", ""en"")"),"He was one of those who founded APC in 2015 before returning to PDP in 2018.")</f>
        <v>He was one of those who founded APC in 2015 before returning to PDP in 2018.</v>
      </c>
    </row>
    <row r="810" ht="15.75" customHeight="1">
      <c r="A810" s="2" t="s">
        <v>847</v>
      </c>
      <c r="B810" s="2" t="str">
        <f>IFERROR(__xludf.DUMMYFUNCTION("GOOGLETRANSLATE(A810, ""yo"", ""en"")"),"Others are Sule Lamido, Babangida Aliyu, Sam Egwu, Liyel Imoke, Uche Secondus, Dino Melaye and so on.")</f>
        <v>Others are Sule Lamido, Babangida Aliyu, Sam Egwu, Liyel Imoke, Uche Secondus, Dino Melaye and so on.</v>
      </c>
    </row>
    <row r="811" ht="15.75" customHeight="1">
      <c r="A811" s="2" t="s">
        <v>848</v>
      </c>
      <c r="B811" s="2" t="str">
        <f>IFERROR(__xludf.DUMMYFUNCTION("GOOGLETRANSLATE(A811, ""yo"", ""en"")"),"Yesterday, the first day of July this year, the ADC group announced the leaders of the group after the meeting of the group's speakers held in Abuja.")</f>
        <v>Yesterday, the first day of July this year, the ADC group announced the leaders of the group after the meeting of the group's speakers held in Abuja.</v>
      </c>
    </row>
    <row r="812" ht="15.75" customHeight="1">
      <c r="A812" s="2" t="s">
        <v>849</v>
      </c>
      <c r="B812" s="2" t="str">
        <f>IFERROR(__xludf.DUMMYFUNCTION("GOOGLETRANSLATE(A812, ""yo"", ""en"")"),"We hope that at the group meeting that will be held today, all the houses will have signed the appointment and it will not be confirmed anymore.")</f>
        <v>We hope that at the group meeting that will be held today, all the houses will have signed the appointment and it will not be confirmed anymore.</v>
      </c>
    </row>
    <row r="813" ht="15.75" customHeight="1">
      <c r="A813" s="2" t="s">
        <v>850</v>
      </c>
      <c r="B813" s="2" t="str">
        <f>IFERROR(__xludf.DUMMYFUNCTION("GOOGLETRANSLATE(A813, ""yo"", ""en"")"),"The former press secretary of the PDP political party who is also an adviser to the former Senator Mark, Kola Ologbondiyan, is now on his X list.")</f>
        <v>The former press secretary of the PDP political party who is also an adviser to the former Senator Mark, Kola Ologbondiyan, is now on his X list.</v>
      </c>
    </row>
    <row r="814" ht="15.75" customHeight="1">
      <c r="A814" s="2" t="s">
        <v>851</v>
      </c>
      <c r="B814" s="2" t="str">
        <f>IFERROR(__xludf.DUMMYFUNCTION("GOOGLETRANSLATE(A814, ""yo"", ""en"")"),"He explained on his X page that ""ADC political party has become a political organization of politicians.""")</f>
        <v>He explained on his X page that "ADC political party has become a political organization of politicians."</v>
      </c>
    </row>
    <row r="815" ht="15.75" customHeight="1">
      <c r="A815" s="2" t="s">
        <v>852</v>
      </c>
      <c r="B815" s="2" t="str">
        <f>IFERROR(__xludf.DUMMYFUNCTION("GOOGLETRANSLATE(A815, ""yo"", ""en"")"),"BBC News Yoruba news on your WhatsApp Join us there End of podcast promotion There is a vacancy in many political parties in Nigeria and some of the parties are disbanding and members are joining my parties.")</f>
        <v>BBC News Yoruba news on your WhatsApp Join us there End of podcast promotion There is a vacancy in many political parties in Nigeria and some of the parties are disbanding and members are joining my parties.</v>
      </c>
    </row>
    <row r="816" ht="15.75" customHeight="1">
      <c r="A816" s="2" t="s">
        <v>853</v>
      </c>
      <c r="B816" s="2" t="str">
        <f>IFERROR(__xludf.DUMMYFUNCTION("GOOGLETRANSLATE(A816, ""yo"", ""en"")"),"They left from one party to another because of power, not because of the people, not because of the love they have for Nigeria.")</f>
        <v>They left from one party to another because of power, not because of the people, not because of the love they have for Nigeria.</v>
      </c>
    </row>
    <row r="817" ht="15.75" customHeight="1">
      <c r="A817" s="2" t="s">
        <v>854</v>
      </c>
      <c r="B817" s="2" t="str">
        <f>IFERROR(__xludf.DUMMYFUNCTION("GOOGLETRANSLATE(A817, ""yo"", ""en"")"),"Our political party should not be like this, I am not a party like this.")</f>
        <v>Our political party should not be like this, I am not a party like this.</v>
      </c>
    </row>
    <row r="818" ht="15.75" customHeight="1">
      <c r="A818" s="2" t="s">
        <v>855</v>
      </c>
      <c r="B818" s="2" t="str">
        <f>IFERROR(__xludf.DUMMYFUNCTION("GOOGLETRANSLATE(A818, ""yo"", ""en"")"),"We must be a political party that will talk about education, we have to build schools.")</f>
        <v>We must be a political party that will talk about education, we have to build schools.</v>
      </c>
    </row>
    <row r="819" ht="15.75" customHeight="1">
      <c r="A819" s="2" t="s">
        <v>856</v>
      </c>
      <c r="B819" s="2" t="str">
        <f>IFERROR(__xludf.DUMMYFUNCTION("GOOGLETRANSLATE(A819, ""yo"", ""en"")"),"We must also talk about the women's program for the people, in the same way the ADC group must talk about providing jobs for the people.")</f>
        <v>We must also talk about the women's program for the people, in the same way the ADC group must talk about providing jobs for the people.</v>
      </c>
    </row>
    <row r="820" ht="15.75" customHeight="1">
      <c r="A820" s="2" t="s">
        <v>857</v>
      </c>
      <c r="B820" s="2" t="str">
        <f>IFERROR(__xludf.DUMMYFUNCTION("GOOGLETRANSLATE(A820, ""yo"", ""en"")"),"These things have to do with what will benefit Nigeria.")</f>
        <v>These things have to do with what will benefit Nigeria.</v>
      </c>
    </row>
    <row r="821" ht="15.75" customHeight="1">
      <c r="A821" s="2" t="s">
        <v>858</v>
      </c>
      <c r="B821" s="2" t="str">
        <f>IFERROR(__xludf.DUMMYFUNCTION("GOOGLETRANSLATE(A821, ""yo"", ""en"")"),"It's not just about the electoral system that we talk about, but it's not a good governance system,'' Aregbesola explained.")</f>
        <v>It's not just about the electoral system that we talk about, but it's not a good governance system,'' Aregbesola explained.</v>
      </c>
    </row>
    <row r="822" ht="15.75" customHeight="1">
      <c r="A822" s="2" t="s">
        <v>859</v>
      </c>
      <c r="B822" s="2" t="str">
        <f>IFERROR(__xludf.DUMMYFUNCTION("GOOGLETRANSLATE(A822, ""yo"", ""en"")"),"Aregbesola has a lot of work to do in the ADC party, but he believes that the ADC party can bring the right change to Nigeria.")</f>
        <v>Aregbesola has a lot of work to do in the ADC party, but he believes that the ADC party can bring the right change to Nigeria.</v>
      </c>
    </row>
    <row r="823" ht="15.75" customHeight="1">
      <c r="A823" s="2" t="s">
        <v>860</v>
      </c>
      <c r="B823" s="2" t="str">
        <f>IFERROR(__xludf.DUMMYFUNCTION("GOOGLETRANSLATE(A823, ""yo"", ""en"")"),"''The work before us is not easy at all, and it takes time because the work requires deep commitment.")</f>
        <v>''The work before us is not easy at all, and it takes time because the work requires deep commitment.</v>
      </c>
    </row>
    <row r="824" ht="15.75" customHeight="1">
      <c r="A824" s="2" t="s">
        <v>861</v>
      </c>
      <c r="B824" s="2" t="str">
        <f>IFERROR(__xludf.DUMMYFUNCTION("GOOGLETRANSLATE(A824, ""yo"", ""en"")"),"However, it is something that is possible, that is why I am asking for your support.")</f>
        <v>However, it is something that is possible, that is why I am asking for your support.</v>
      </c>
    </row>
    <row r="825" ht="15.75" customHeight="1">
      <c r="A825" s="2" t="s">
        <v>862</v>
      </c>
      <c r="B825" s="2" t="str">
        <f>IFERROR(__xludf.DUMMYFUNCTION("GOOGLETRANSLATE(A825, ""yo"", ""en"")"),"I want everyone to stand by us as we begin this right journey in the Nigerian political system.")</f>
        <v>I want everyone to stand by us as we begin this right journey in the Nigerian political system.</v>
      </c>
    </row>
    <row r="826" ht="15.75" customHeight="1">
      <c r="A826" s="2" t="s">
        <v>863</v>
      </c>
      <c r="B826" s="2" t="str">
        <f>IFERROR(__xludf.DUMMYFUNCTION("GOOGLETRANSLATE(A826, ""yo"", ""en"")"),"We want to use the ADC political party to return the political system to where it should not be in Nigeria,'' Aregbesola said.")</f>
        <v>We want to use the ADC political party to return the political system to where it should not be in Nigeria,'' Aregbesola said.</v>
      </c>
    </row>
    <row r="827" ht="15.75" customHeight="1">
      <c r="A827" s="2" t="s">
        <v>864</v>
      </c>
      <c r="B827" s="2" t="str">
        <f>IFERROR(__xludf.DUMMYFUNCTION("GOOGLETRANSLATE(A827, ""yo"", ""en"")"),"A variety of politicians from the opposition parties came together to form the ADC political party in order to face the APC political party which is the party of President Bola Tinubu in the 2027 general election.")</f>
        <v>A variety of politicians from the opposition parties came together to form the ADC political party in order to face the APC political party which is the party of President Bola Tinubu in the 2027 general election.</v>
      </c>
    </row>
    <row r="828" ht="15.75" customHeight="1">
      <c r="A828" s="2" t="s">
        <v>865</v>
      </c>
      <c r="B828" s="2" t="str">
        <f>IFERROR(__xludf.DUMMYFUNCTION("GOOGLETRANSLATE(A828, ""yo"", ""en"")"),"Among those who are calling for the alliance of the opposition political parties is the former vice president of Nigeria, Atiku Abubakar; LP's presidential candidate in the 2023 presidential election, Peter Obi, former governor of Kaduna state, Nasir el-R"&amp;"ufai; and the former minister of husbandry in Nigeria, Rotimi Amaechi.")</f>
        <v>Among those who are calling for the alliance of the opposition political parties is the former vice president of Nigeria, Atiku Abubakar; LP's presidential candidate in the 2023 presidential election, Peter Obi, former governor of Kaduna state, Nasir el-Rufai; and the former minister of husbandry in Nigeria, Rotimi Amaechi.</v>
      </c>
    </row>
    <row r="829" ht="15.75" customHeight="1">
      <c r="A829" s="2" t="s">
        <v>866</v>
      </c>
      <c r="B829" s="2" t="str">
        <f>IFERROR(__xludf.DUMMYFUNCTION("GOOGLETRANSLATE(A829, ""yo"", ""en"")"),"Last May, the leaders of the opposition political group in Nigeria decided to use the ADC political party to face the APC in the 2027 election.")</f>
        <v>Last May, the leaders of the opposition political group in Nigeria decided to use the ADC political party to face the APC in the 2027 election.</v>
      </c>
    </row>
    <row r="830" ht="15.75" customHeight="1">
      <c r="A830" s="2" t="s">
        <v>867</v>
      </c>
      <c r="B830" s="2" t="str">
        <f>IFERROR(__xludf.DUMMYFUNCTION("GOOGLETRANSLATE(A830, ""yo"", ""en"")"),"Speaking last week, Ralph Nwosu, who founded the group said that there is a reason why they chose Senator David Mark as the chairman of the group.")</f>
        <v>Speaking last week, Ralph Nwosu, who founded the group said that there is a reason why they chose Senator David Mark as the chairman of the group.</v>
      </c>
    </row>
    <row r="831" ht="15.75" customHeight="1">
      <c r="A831" s="2" t="s">
        <v>868</v>
      </c>
      <c r="B831" s="2" t="str">
        <f>IFERROR(__xludf.DUMMYFUNCTION("GOOGLETRANSLATE(A831, ""yo"", ""en"")"),"However, the acting chairman of the APC political party, Ali Bukar Dalori, has said that the opposition political parties have clashed with each other and no hair has been changed in the party.")</f>
        <v>However, the acting chairman of the APC political party, Ali Bukar Dalori, has said that the opposition political parties have clashed with each other and no hair has been changed in the party.</v>
      </c>
    </row>
    <row r="832" ht="15.75" customHeight="1">
      <c r="A832" s="2" t="s">
        <v>869</v>
      </c>
      <c r="B832" s="2" t="str">
        <f>IFERROR(__xludf.DUMMYFUNCTION("GOOGLETRANSLATE(A832, ""yo"", ""en"")"),"Dalori, who started work yesterday, has replaced the former vice chairman of the APC political party in the northern part of Nigeria.")</f>
        <v>Dalori, who started work yesterday, has replaced the former vice chairman of the APC political party in the northern part of Nigeria.</v>
      </c>
    </row>
    <row r="833" ht="15.75" customHeight="1">
      <c r="A833" s="2" t="s">
        <v>870</v>
      </c>
      <c r="B833" s="2" t="str">
        <f>IFERROR(__xludf.DUMMYFUNCTION("GOOGLETRANSLATE(A833, ""yo"", ""en"")"),"In an interview with BBC Hausa, Dalori said what is important now is resolving the feelings that exist between APC political party members in the states and local governments across Nigeria.")</f>
        <v>In an interview with BBC Hausa, Dalori said what is important now is resolving the feelings that exist between APC political party members in the states and local governments across Nigeria.</v>
      </c>
    </row>
    <row r="834" ht="15.75" customHeight="1">
      <c r="A834" s="2" t="s">
        <v>871</v>
      </c>
      <c r="B834" s="2" t="str">
        <f>IFERROR(__xludf.DUMMYFUNCTION("GOOGLETRANSLATE(A834, ""yo"", ""en"")"),"""I always try to see that all APC members who have feelings against each other, I resolve it.")</f>
        <v>"I always try to see that all APC members who have feelings against each other, I resolve it.</v>
      </c>
    </row>
    <row r="835" ht="15.75" customHeight="1">
      <c r="A835" s="2" t="s">
        <v>872</v>
      </c>
      <c r="B835" s="2" t="str">
        <f>IFERROR(__xludf.DUMMYFUNCTION("GOOGLETRANSLATE(A835, ""yo"", ""en"")"),"I used to sit with them to solve the issue because we need each other in the group,'' said Dalori.")</f>
        <v>I used to sit with them to solve the issue because we need each other in the group,'' said Dalori.</v>
      </c>
    </row>
    <row r="836" ht="15.75" customHeight="1">
      <c r="A836" s="2" t="s">
        <v>873</v>
      </c>
      <c r="B836" s="2" t="str">
        <f>IFERROR(__xludf.DUMMYFUNCTION("GOOGLETRANSLATE(A836, ""yo"", ""en"")"),"Adele, the chairman of the APC party has not confirmed that the party has not set a date for the general meeting across Nigeria because they have to talk to the leaders of the party.")</f>
        <v>Adele, the chairman of the APC party has not confirmed that the party has not set a date for the general meeting across Nigeria because they have to talk to the leaders of the party.</v>
      </c>
    </row>
    <row r="837" ht="15.75" customHeight="1">
      <c r="A837" s="2" t="s">
        <v>874</v>
      </c>
      <c r="B837" s="2" t="str">
        <f>IFERROR(__xludf.DUMMYFUNCTION("GOOGLETRANSLATE(A837, ""yo"", ""en"")"),"The former governor of Kano state resigned as chairman after almost two years, that is after Senator Abdullahi Adamu, the current chairman resigned the same resignation.")</f>
        <v>The former governor of Kano state resigned as chairman after almost two years, that is after Senator Abdullahi Adamu, the current chairman resigned the same resignation.</v>
      </c>
    </row>
    <row r="838" ht="15.75" customHeight="1">
      <c r="A838" s="2" t="s">
        <v>875</v>
      </c>
      <c r="B838" s="2" t="str">
        <f>IFERROR(__xludf.DUMMYFUNCTION("GOOGLETRANSLATE(A838, ""yo"", ""en"")"),"My representatives sent a letter from the Nigerian government, told the BBC that there was an order from the office of the president, that Ganduje should resign.")</f>
        <v>My representatives sent a letter from the Nigerian government, told the BBC that there was an order from the office of the president, that Ganduje should resign.</v>
      </c>
    </row>
    <row r="839" ht="15.75" customHeight="1">
      <c r="A839" s="2" t="s">
        <v>876</v>
      </c>
      <c r="B839" s="2" t="str">
        <f>IFERROR(__xludf.DUMMYFUNCTION("GOOGLETRANSLATE(A839, ""yo"", ""en"")"),"They told him not to leave suddenly.")</f>
        <v>They told him not to leave suddenly.</v>
      </c>
    </row>
    <row r="840" ht="15.75" customHeight="1">
      <c r="A840" s="2" t="s">
        <v>877</v>
      </c>
      <c r="B840" s="2" t="str">
        <f>IFERROR(__xludf.DUMMYFUNCTION("GOOGLETRANSLATE(A840, ""yo"", ""en"")"),"""Since Thursday, we have been ordered to write Ganduje's resignation, and when it was Monday, he sent the letter to the appropriate place that he has resigned from the position of chairman."" So said one of those who represented me.")</f>
        <v>"Since Thursday, we have been ordered to write Ganduje's resignation, and when it was Monday, he sent the letter to the appropriate place that he has resigned from the position of chairman." So said one of those who represented me.</v>
      </c>
    </row>
    <row r="841" ht="15.75" customHeight="1">
      <c r="A841" s="2" t="s">
        <v>878</v>
      </c>
      <c r="B841" s="2" t="str">
        <f>IFERROR(__xludf.DUMMYFUNCTION("GOOGLETRANSLATE(A841, ""yo"", ""en"")"),"Some of them took a letter from the chairmen, they dismissed them completely, and ordered the chairpersons to resign.")</f>
        <v>Some of them took a letter from the chairmen, they dismissed them completely, and ordered the chairpersons to resign.</v>
      </c>
    </row>
    <row r="842" ht="15.75" customHeight="1">
      <c r="A842" s="2" t="s">
        <v>879</v>
      </c>
      <c r="B842" s="2" t="str">
        <f>IFERROR(__xludf.DUMMYFUNCTION("GOOGLETRANSLATE(A842, ""yo"", ""en"")"),"This attitude in the political opinion says that it does not have a double meaning, rather than that only those who love selfishness are ordering the leaders of the joint political party in this country.")</f>
        <v>This attitude in the political opinion says that it does not have a double meaning, rather than that only those who love selfishness are ordering the leaders of the joint political party in this country.</v>
      </c>
    </row>
    <row r="843" ht="15.75" customHeight="1">
      <c r="A843" s="2" t="s">
        <v>880</v>
      </c>
      <c r="B843" s="2" t="str">
        <f>IFERROR(__xludf.DUMMYFUNCTION("GOOGLETRANSLATE(A843, ""yo"", ""en"")"),"Scholar Yakubu Haruna Ja'e, senior lecturer in political science at the Kaduna State University, told the BBC that this incident is not the same thing that politicians do.")</f>
        <v>Scholar Yakubu Haruna Ja'e, senior lecturer in political science at the Kaduna State University, told the BBC that this incident is not the same thing that politicians do.</v>
      </c>
    </row>
    <row r="844" ht="15.75" customHeight="1">
      <c r="A844" s="2" t="s">
        <v>881</v>
      </c>
      <c r="B844" s="2" t="str">
        <f>IFERROR(__xludf.DUMMYFUNCTION("GOOGLETRANSLATE(A844, ""yo"", ""en"")"),"He said they are only doing this to please themselves.")</f>
        <v>He said they are only doing this to please themselves.</v>
      </c>
    </row>
    <row r="845" ht="15.75" customHeight="1">
      <c r="A845" s="2" t="s">
        <v>882</v>
      </c>
      <c r="B845" s="2" t="str">
        <f>IFERROR(__xludf.DUMMYFUNCTION("GOOGLETRANSLATE(A845, ""yo"", ""en"")"),"""There are the leaders of the same political party who are double-edged like a knife, and there are others who, when the politicians of their party see that they are not doing what they want, they throw them out.")</f>
        <v>"There are the leaders of the same political party who are double-edged like a knife, and there are others who, when the politicians of their party see that they are not doing what they want, they throw them out.</v>
      </c>
    </row>
    <row r="846" ht="15.75" customHeight="1">
      <c r="A846" s="2" t="s">
        <v>883</v>
      </c>
      <c r="B846" s="2" t="str">
        <f>IFERROR(__xludf.DUMMYFUNCTION("GOOGLETRANSLATE(A846, ""yo"", ""en"")"),""" Scholar Yakubu Haruna Ja'e, explained that.")</f>
        <v>" Scholar Yakubu Haruna Ja'e, explained that.</v>
      </c>
    </row>
    <row r="847" ht="15.75" customHeight="1">
      <c r="A847" s="2" t="s">
        <v>884</v>
      </c>
      <c r="B847" s="2" t="str">
        <f>IFERROR(__xludf.DUMMYFUNCTION("GOOGLETRANSLATE(A847, ""yo"", ""en"")"),"Abdullahi Adamu: The man spent a year and a few months replacing the APC general chairman who left.")</f>
        <v>Abdullahi Adamu: The man spent a year and a few months replacing the APC general chairman who left.</v>
      </c>
    </row>
    <row r="848" ht="15.75" customHeight="1">
      <c r="A848" s="2" t="s">
        <v>885</v>
      </c>
      <c r="B848" s="2" t="str">
        <f>IFERROR(__xludf.DUMMYFUNCTION("GOOGLETRANSLATE(A848, ""yo"", ""en"")"),"The former governor of Nasarawa state resigned after a misunderstanding between him and President Tinubu.")</f>
        <v>The former governor of Nasarawa state resigned after a misunderstanding between him and President Tinubu.</v>
      </c>
    </row>
    <row r="849" ht="15.75" customHeight="1">
      <c r="A849" s="2" t="s">
        <v>886</v>
      </c>
      <c r="B849" s="2" t="str">
        <f>IFERROR(__xludf.DUMMYFUNCTION("GOOGLETRANSLATE(A849, ""yo"", ""en"")"),"Mai Mala Buni: On June 2020, she was appointed as the chairman of Fidhieh-e for the APC party.")</f>
        <v>Mai Mala Buni: On June 2020, she was appointed as the chairman of Fidhieh-e for the APC party.</v>
      </c>
    </row>
    <row r="850" ht="15.75" customHeight="1">
      <c r="A850" s="2" t="s">
        <v>887</v>
      </c>
      <c r="B850" s="2" t="str">
        <f>IFERROR(__xludf.DUMMYFUNCTION("GOOGLETRANSLATE(A850, ""yo"", ""en"")"),"The election of Mai Mala happened after the conflict between APC and Adams Oshiomhole who was the chairman at the time.")</f>
        <v>The election of Mai Mala happened after the conflict between APC and Adams Oshiomhole who was the chairman at the time.</v>
      </c>
    </row>
    <row r="851" ht="15.75" customHeight="1">
      <c r="A851" s="2" t="s">
        <v>888</v>
      </c>
      <c r="B851" s="2" t="str">
        <f>IFERROR(__xludf.DUMMYFUNCTION("GOOGLETRANSLATE(A851, ""yo"", ""en"")"),"There was an argument about this, and they returned to the court as well.")</f>
        <v>There was an argument about this, and they returned to the court as well.</v>
      </c>
    </row>
    <row r="852" ht="15.75" customHeight="1">
      <c r="A852" s="2" t="s">
        <v>889</v>
      </c>
      <c r="B852" s="2" t="str">
        <f>IFERROR(__xludf.DUMMYFUNCTION("GOOGLETRANSLATE(A852, ""yo"", ""en"")"),"Adams Oshiomole: In June 2018, Senator Adams Oshiomole was appointed as the chairman of the APC, but he faced many problems and resigned after two years.")</f>
        <v>Adams Oshiomole: In June 2018, Senator Adams Oshiomole was appointed as the chairman of the APC, but he faced many problems and resigned after two years.</v>
      </c>
    </row>
    <row r="853" ht="15.75" customHeight="1">
      <c r="A853" s="2" t="s">
        <v>890</v>
      </c>
      <c r="B853" s="2" t="str">
        <f>IFERROR(__xludf.DUMMYFUNCTION("GOOGLETRANSLATE(A853, ""yo"", ""en"")"),"John Odigie Oyegun: He was elected in 2014 after the first Fidihe-e chairman.")</f>
        <v>John Odigie Oyegun: He was elected in 2014 after the first Fidihe-e chairman.</v>
      </c>
    </row>
    <row r="854" ht="15.75" customHeight="1">
      <c r="A854" s="2" t="s">
        <v>891</v>
      </c>
      <c r="B854" s="2" t="str">
        <f>IFERROR(__xludf.DUMMYFUNCTION("GOOGLETRANSLATE(A854, ""yo"", ""en"")"),"These are the people who replaced the joint chairman for the PDP.")</f>
        <v>These are the people who replaced the joint chairman for the PDP.</v>
      </c>
    </row>
    <row r="855" ht="15.75" customHeight="1">
      <c r="A855" s="2" t="s">
        <v>892</v>
      </c>
      <c r="B855" s="2" t="str">
        <f>IFERROR(__xludf.DUMMYFUNCTION("GOOGLETRANSLATE(A855, ""yo"", ""en"")"),"Iyorchia Ayu: They said that they did not encourage him at home when the conflict broke out in the group.")</f>
        <v>Iyorchia Ayu: They said that they did not encourage him at home when the conflict broke out in the group.</v>
      </c>
    </row>
    <row r="856" ht="15.75" customHeight="1">
      <c r="A856" s="2" t="s">
        <v>893</v>
      </c>
      <c r="B856" s="2" t="str">
        <f>IFERROR(__xludf.DUMMYFUNCTION("GOOGLETRANSLATE(A856, ""yo"", ""en"")"),"In October 2021, the former Benue state governor became PDP chairman.")</f>
        <v>In October 2021, the former Benue state governor became PDP chairman.</v>
      </c>
    </row>
    <row r="857" ht="15.75" customHeight="1">
      <c r="A857" s="2" t="s">
        <v>894</v>
      </c>
      <c r="B857" s="2" t="str">
        <f>IFERROR(__xludf.DUMMYFUNCTION("GOOGLETRANSLATE(A857, ""yo"", ""en"")"),"But in March 2023, they stopped Iyorchia Ayu and chose Iliya Damagum who was there.")</f>
        <v>But in March 2023, they stopped Iyorchia Ayu and chose Iliya Damagum who was there.</v>
      </c>
    </row>
    <row r="858" ht="15.75" customHeight="1">
      <c r="A858" s="2" t="s">
        <v>895</v>
      </c>
      <c r="B858" s="2" t="str">
        <f>IFERROR(__xludf.DUMMYFUNCTION("GOOGLETRANSLATE(A858, ""yo"", ""en"")"),"Uche Secondus: On the 10th day of December 2017, he was appointed as the leader of the group, but he also faced a problem that brought him to court.")</f>
        <v>Uche Secondus: On the 10th day of December 2017, he was appointed as the leader of the group, but he also faced a problem that brought him to court.</v>
      </c>
    </row>
    <row r="859" ht="15.75" customHeight="1">
      <c r="A859" s="2" t="s">
        <v>896</v>
      </c>
      <c r="B859" s="2" t="str">
        <f>IFERROR(__xludf.DUMMYFUNCTION("GOOGLETRANSLATE(A859, ""yo"", ""en"")"),"He returned and resigned that he would know.")</f>
        <v>He returned and resigned that he would know.</v>
      </c>
    </row>
    <row r="860" ht="15.75" customHeight="1">
      <c r="A860" s="2" t="s">
        <v>897</v>
      </c>
      <c r="B860" s="2" t="str">
        <f>IFERROR(__xludf.DUMMYFUNCTION("GOOGLETRANSLATE(A860, ""yo"", ""en"")"),"The others are Ahmed Makarfi Ali Modu Sheriff Bamanga Tukur Adamu Mu'azu According to Scholar Yakubu Haruna Ja'e, resignation or resignation usually leads to backlash against the African government in Nigeria.")</f>
        <v>The others are Ahmed Makarfi Ali Modu Sheriff Bamanga Tukur Adamu Mu'azu According to Scholar Yakubu Haruna Ja'e, resignation or resignation usually leads to backlash against the African government in Nigeria.</v>
      </c>
    </row>
    <row r="861" ht="15.75" customHeight="1">
      <c r="A861" s="2" t="s">
        <v>898</v>
      </c>
      <c r="B861" s="2" t="str">
        <f>IFERROR(__xludf.DUMMYFUNCTION("GOOGLETRANSLATE(A861, ""yo"", ""en"")"),"""Because the internal conflict will be against them for many times, some will be hard as they see things clearly, and they will be able to use the others to think like you."" In the same way, if the group is facing this problem, it will not find a place "&amp;"to solve the problem in the group.")</f>
        <v>"Because the internal conflict will be against them for many times, some will be hard as they see things clearly, and they will be able to use the others to think like you." In the same way, if the group is facing this problem, it will not find a place to solve the problem in the group.</v>
      </c>
    </row>
    <row r="862" ht="15.75" customHeight="1">
      <c r="A862" s="2" t="s">
        <v>899</v>
      </c>
      <c r="B862" s="2" t="str">
        <f>IFERROR(__xludf.DUMMYFUNCTION("GOOGLETRANSLATE(A862, ""yo"", ""en"")"),"The issue of the Governor's office announced by the Oyo state government said that it will be repaired with a sum of sixty three billion Naira.")</f>
        <v>The issue of the Governor's office announced by the Oyo state government said that it will be repaired with a sum of sixty three billion Naira.</v>
      </c>
    </row>
    <row r="863" ht="15.75" customHeight="1">
      <c r="A863" s="2" t="s">
        <v>900</v>
      </c>
      <c r="B863" s="2" t="str">
        <f>IFERROR(__xludf.DUMMYFUNCTION("GOOGLETRANSLATE(A863, ""yo"", ""en"")"),"The announcement has caused a lot of controversy, starting from the internet and from opposition political parties.")</f>
        <v>The announcement has caused a lot of controversy, starting from the internet and from opposition political parties.</v>
      </c>
    </row>
    <row r="864" ht="15.75" customHeight="1">
      <c r="A864" s="2" t="s">
        <v>901</v>
      </c>
      <c r="B864" s="2" t="str">
        <f>IFERROR(__xludf.DUMMYFUNCTION("GOOGLETRANSLATE(A864, ""yo"", ""en"")"),"BBC Yoruba contacted the Oyo state government to shed light on the noise people are making on the step.")</f>
        <v>BBC Yoruba contacted the Oyo state government to shed light on the noise people are making on the step.</v>
      </c>
    </row>
    <row r="865" ht="15.75" customHeight="1">
      <c r="A865" s="2" t="s">
        <v>902</v>
      </c>
      <c r="B865" s="2" t="str">
        <f>IFERROR(__xludf.DUMMYFUNCTION("GOOGLETRANSLATE(A865, ""yo"", ""en"")"),"The information given by the Commissioner for Information in Oyo State, Omoba Dótun Oyelade to our reporter is that twenty-one different sites need repair in the garden of the residence.")</f>
        <v>The information given by the Commissioner for Information in Oyo State, Omoba Dótun Oyelade to our reporter is that twenty-one different sites need repair in the garden of the residence.</v>
      </c>
    </row>
    <row r="866" ht="15.75" customHeight="1">
      <c r="A866" s="2" t="s">
        <v>903</v>
      </c>
      <c r="B866" s="2" t="str">
        <f>IFERROR(__xludf.DUMMYFUNCTION("GOOGLETRANSLATE(A866, ""yo"", ""en"")"),"Oyelade, no one has been able to claim the hundreds of billions of Naira that Governor Sheyi Makinde spends annually on the salary of workers and other important services that the government does for the people, but the issue of the house that the Governo"&amp;"r and his guests want keeps coming and going.")</f>
        <v>Oyelade, no one has been able to claim the hundreds of billions of Naira that Governor Sheyi Makinde spends annually on the salary of workers and other important services that the government does for the people, but the issue of the house that the Governor and his guests want keeps coming and going.</v>
      </c>
    </row>
    <row r="867" ht="15.75" customHeight="1">
      <c r="A867" s="2" t="s">
        <v>904</v>
      </c>
      <c r="B867" s="2" t="str">
        <f>IFERROR(__xludf.DUMMYFUNCTION("GOOGLETRANSLATE(A867, ""yo"", ""en"")"),"The commissioner for media in Oyo state also added that one of the reasons for the increase of the money is that they have bought all the construction materials they want to use for the house, and said that ""we all know what Dollar is saying"".")</f>
        <v>The commissioner for media in Oyo state also added that one of the reasons for the increase of the money is that they have bought all the construction materials they want to use for the house, and said that "we all know what Dollar is saying".</v>
      </c>
    </row>
    <row r="868" ht="15.75" customHeight="1">
      <c r="A868" s="2" t="s">
        <v>905</v>
      </c>
      <c r="B868" s="2" t="str">
        <f>IFERROR(__xludf.DUMMYFUNCTION("GOOGLETRANSLATE(A868, ""yo"", ""en"")"),"Similarly, we spoke to the leader of the APC state political party, Wale Sadare, his explanation was that there is nothing wrong with the reform that the Oyo state government wants to do, but the money they spent for the project is too much.")</f>
        <v>Similarly, we spoke to the leader of the APC state political party, Wale Sadare, his explanation was that there is nothing wrong with the reform that the Oyo state government wants to do, but the money they spent for the project is too much.</v>
      </c>
    </row>
    <row r="869" ht="15.75" customHeight="1">
      <c r="A869" s="2" t="s">
        <v>906</v>
      </c>
      <c r="B869" s="2" t="str">
        <f>IFERROR(__xludf.DUMMYFUNCTION("GOOGLETRANSLATE(A869, ""yo"", ""en"")"),"Sadare many people in Oyo state can get out of work and poverty if the government spends the money properly.")</f>
        <v>Sadare many people in Oyo state can get out of work and poverty if the government spends the money properly.</v>
      </c>
    </row>
    <row r="870" ht="15.75" customHeight="1">
      <c r="A870" s="2" t="s">
        <v>907</v>
      </c>
      <c r="B870" s="2" t="str">
        <f>IFERROR(__xludf.DUMMYFUNCTION("GOOGLETRANSLATE(A870, ""yo"", ""en"")"),"The former president of Nigeria, Jonathan said that he decided at that time not to leave his position with all the problems that happened at that time because of what the law said.")</f>
        <v>The former president of Nigeria, Jonathan said that he decided at that time not to leave his position with all the problems that happened at that time because of what the law said.</v>
      </c>
    </row>
    <row r="871" ht="15.75" customHeight="1">
      <c r="A871" s="2" t="s">
        <v>908</v>
      </c>
      <c r="B871" s="2" t="str">
        <f>IFERROR(__xludf.DUMMYFUNCTION("GOOGLETRANSLATE(A871, ""yo"", ""en"")"),"Jonathan is so determined that he is ready to stand on his feet even if the issue takes his life.")</f>
        <v>Jonathan is so determined that he is ready to stand on his feet even if the issue takes his life.</v>
      </c>
    </row>
    <row r="872" ht="15.75" customHeight="1">
      <c r="A872" s="2" t="s">
        <v>909</v>
      </c>
      <c r="B872" s="2" t="str">
        <f>IFERROR(__xludf.DUMMYFUNCTION("GOOGLETRANSLATE(A872, ""yo"", ""en"")"),"Jonathan said in an interview with the Rainbow Book Club that Yar'Adua signed a letter that would give him the strength to continue as interim president.")</f>
        <v>Jonathan said in an interview with the Rainbow Book Club that Yar'Adua signed a letter that would give him the strength to continue as interim president.</v>
      </c>
    </row>
    <row r="873" ht="15.75" customHeight="1">
      <c r="A873" s="2" t="s">
        <v>910</v>
      </c>
      <c r="B873" s="2" t="str">
        <f>IFERROR(__xludf.DUMMYFUNCTION("GOOGLETRANSLATE(A873, ""yo"", ""en"")"),"However, he said that a certain Yar'Adua went on a letter that did not reach the House of Representatives.")</f>
        <v>However, he said that a certain Yar'Adua went on a letter that did not reach the House of Representatives.</v>
      </c>
    </row>
    <row r="874" ht="15.75" customHeight="1">
      <c r="A874" s="2" t="s">
        <v>911</v>
      </c>
      <c r="B874" s="2" t="str">
        <f>IFERROR(__xludf.DUMMYFUNCTION("GOOGLETRANSLATE(A874, ""yo"", ""en"")"),"This caused controversy in Nigeria at the time, Jonathan was one of the most powerful attacks that Nigeria faced at that time.")</f>
        <v>This caused controversy in Nigeria at the time, Jonathan was one of the most powerful attacks that Nigeria faced at that time.</v>
      </c>
    </row>
    <row r="875" ht="15.75" customHeight="1">
      <c r="A875" s="2" t="s">
        <v>912</v>
      </c>
      <c r="B875" s="2" t="str">
        <f>IFERROR(__xludf.DUMMYFUNCTION("GOOGLETRANSLATE(A875, ""yo"", ""en"")"),"BBC News Yoruba news on your WhatsApp Join us at the End of podcast promotion The former Nigerian president said that ""fear is spreading across Nigeria, there is division in different areas such as the division between the people of the north and the sou"&amp;"th of Nigeria.")</f>
        <v>BBC News Yoruba news on your WhatsApp Join us at the End of podcast promotion The former Nigerian president said that "fear is spreading across Nigeria, there is division in different areas such as the division between the people of the north and the south of Nigeria.</v>
      </c>
    </row>
    <row r="876" ht="15.75" customHeight="1">
      <c r="A876" s="2" t="s">
        <v>913</v>
      </c>
      <c r="B876" s="2" t="str">
        <f>IFERROR(__xludf.DUMMYFUNCTION("GOOGLETRANSLATE(A876, ""yo"", ""en"")"),"There is also a division between the followers of Christ and the Muslims there.'' He had an agreement that is not documented that the person who is the president from the north will spend eight years on the presidency after Chief Olusegun Obasanjo spent e"&amp;"ight years as the president of Nigeria.")</f>
        <v>There is also a division between the followers of Christ and the Muslims there.'' He had an agreement that is not documented that the person who is the president from the north will spend eight years on the presidency after Chief Olusegun Obasanjo spent eight years as the president of Nigeria.</v>
      </c>
    </row>
    <row r="877" ht="15.75" customHeight="1">
      <c r="A877" s="2" t="s">
        <v>914</v>
      </c>
      <c r="B877" s="2" t="str">
        <f>IFERROR(__xludf.DUMMYFUNCTION("GOOGLETRANSLATE(A877, ""yo"", ""en"")"),"It is true that Jonathan can do things as the vice president, but he will not be able to lead all Nigerian military agencies without becoming the acting president.")</f>
        <v>It is true that Jonathan can do things as the vice president, but he will not be able to lead all Nigerian military agencies without becoming the acting president.</v>
      </c>
    </row>
    <row r="878" ht="15.75" customHeight="1">
      <c r="A878" s="2" t="s">
        <v>915</v>
      </c>
      <c r="B878" s="2" t="str">
        <f>IFERROR(__xludf.DUMMYFUNCTION("GOOGLETRANSLATE(A878, ""yo"", ""en"")"),"He said that all the chaos that is happening has made the parliament strong enough to act as an interim president.")</f>
        <v>He said that all the chaos that is happening has made the parliament strong enough to act as an interim president.</v>
      </c>
    </row>
    <row r="879" ht="15.75" customHeight="1">
      <c r="A879" s="2" t="s">
        <v>916</v>
      </c>
      <c r="B879" s="2" t="str">
        <f>IFERROR(__xludf.DUMMYFUNCTION("GOOGLETRANSLATE(A879, ""yo"", ""en"")"),"The former president of Nigeria said that some of his friends advised him to leave the intelligence so that they would not kill him.")</f>
        <v>The former president of Nigeria said that some of his friends advised him to leave the intelligence so that they would not kill him.</v>
      </c>
    </row>
    <row r="880" ht="15.75" customHeight="1">
      <c r="A880" s="2" t="s">
        <v>917</v>
      </c>
      <c r="B880" s="2" t="str">
        <f>IFERROR(__xludf.DUMMYFUNCTION("GOOGLETRANSLATE(A880, ""yo"", ""en"")"),"''I remember one day when I was in place of the vice president, a friend of mine told me not to sleep in the government house anymore.")</f>
        <v>''I remember one day when I was in place of the vice president, a friend of mine told me not to sleep in the government house anymore.</v>
      </c>
    </row>
    <row r="881" ht="15.75" customHeight="1">
      <c r="A881" s="2" t="s">
        <v>918</v>
      </c>
      <c r="B881" s="2" t="str">
        <f>IFERROR(__xludf.DUMMYFUNCTION("GOOGLETRANSLATE(A881, ""yo"", ""en"")"),"I said no, I used to sleep in the government office, so that whoever wants to suffocate us, suffocates there.")</f>
        <v>I said no, I used to sleep in the government office, so that whoever wants to suffocate us, suffocates there.</v>
      </c>
    </row>
    <row r="882" ht="15.75" customHeight="1">
      <c r="A882" s="2" t="s">
        <v>919</v>
      </c>
      <c r="B882" s="2" t="str">
        <f>IFERROR(__xludf.DUMMYFUNCTION("GOOGLETRANSLATE(A882, ""yo"", ""en"")"),"I hope that they will shut up behind the government because Nigerians will know that there the rebels have remained silent.")</f>
        <v>I hope that they will shut up behind the government because Nigerians will know that there the rebels have remained silent.</v>
      </c>
    </row>
    <row r="883" ht="15.75" customHeight="1">
      <c r="A883" s="2" t="s">
        <v>920</v>
      </c>
      <c r="B883" s="2" t="str">
        <f>IFERROR(__xludf.DUMMYFUNCTION("GOOGLETRANSLATE(A883, ""yo"", ""en"")"),"They know that I will not break the law in any way, but if I go to sleep in a hotel as advised by my friends, they will say that there are some Indian women who will give me fruit there to suck,'' Jonathan explained that the National Assembly thought Jona"&amp;"than was strong enough to make him interim president in February 2010, and he returned to become the president of Nigeria in May of the same year after Yar'Adua passed away.")</f>
        <v>They know that I will not break the law in any way, but if I go to sleep in a hotel as advised by my friends, they will say that there are some Indian women who will give me fruit there to suck,'' Jonathan explained that the National Assembly thought Jonathan was strong enough to make him interim president in February 2010, and he returned to become the president of Nigeria in May of the same year after Yar'Adua passed away.</v>
      </c>
    </row>
    <row r="884" ht="15.75" customHeight="1">
      <c r="A884" s="2" t="s">
        <v>921</v>
      </c>
      <c r="B884" s="2" t="str">
        <f>IFERROR(__xludf.DUMMYFUNCTION("GOOGLETRANSLATE(A884, ""yo"", ""en"")"),"It's been a long time since some people have been saying that something is wrong in the party, but the chairman has put all their rumors to rest.")</f>
        <v>It's been a long time since some people have been saying that something is wrong in the party, but the chairman has put all their rumors to rest.</v>
      </c>
    </row>
    <row r="885" ht="15.75" customHeight="1">
      <c r="A885" s="2" t="s">
        <v>922</v>
      </c>
      <c r="B885" s="2" t="str">
        <f>IFERROR(__xludf.DUMMYFUNCTION("GOOGLETRANSLATE(A885, ""yo"", ""en"")"),"The Director of Publicity and Campaign for the APC, Bala Ibrahim, told the BBC that the reason why Ganduje said that he had to resign was in the health system.")</f>
        <v>The Director of Publicity and Campaign for the APC, Bala Ibrahim, told the BBC that the reason why Ganduje said that he had to resign was in the health system.</v>
      </c>
    </row>
    <row r="886" ht="15.75" customHeight="1">
      <c r="A886" s="2" t="s">
        <v>923</v>
      </c>
      <c r="B886" s="2" t="str">
        <f>IFERROR(__xludf.DUMMYFUNCTION("GOOGLETRANSLATE(A886, ""yo"", ""en"")"),"""Everyone agrees that Ganduje's decision is a good one, and they agree that he will not go and take care of himself, and the party will focus on doing things that will make him strong, and which will make him unsuccessful in the upcoming elections."" Mr."&amp;" Bala Ibrahim also said that the news that there is no peace in the party is completely false, especially about the resignation of Ganduje.")</f>
        <v>"Everyone agrees that Ganduje's decision is a good one, and they agree that he will not go and take care of himself, and the party will focus on doing things that will make him strong, and which will make him unsuccessful in the upcoming elections." Mr. Bala Ibrahim also said that the news that there is no peace in the party is completely false, especially about the resignation of Ganduje.</v>
      </c>
    </row>
    <row r="887" ht="15.75" customHeight="1">
      <c r="A887" s="2" t="s">
        <v>924</v>
      </c>
      <c r="B887" s="2" t="str">
        <f>IFERROR(__xludf.DUMMYFUNCTION("GOOGLETRANSLATE(A887, ""yo"", ""en"")"),"He said ""it's just a rumor in the news that no one investigates it enough to put it out, and it is a sin for people not to hear about it."" The spokesperson for the APC political party said, ""On who will replace the outgoing president, the party has a c"&amp;"onstitution that explains how they will choose someone from the north or the south.")</f>
        <v>He said "it's just a rumor in the news that no one investigates it enough to put it out, and it is a sin for people not to hear about it." The spokesperson for the APC political party said, "On who will replace the outgoing president, the party has a constitution that explains how they will choose someone from the north or the south.</v>
      </c>
    </row>
    <row r="888" ht="15.75" customHeight="1">
      <c r="A888" s="2" t="s">
        <v>925</v>
      </c>
      <c r="B888" s="2" t="str">
        <f>IFERROR(__xludf.DUMMYFUNCTION("GOOGLETRANSLATE(A888, ""yo"", ""en"")"),"""People who come from the area where the chairman who resigned must be elected and not be an interim until the political party election system is held."" He added, ""The outgoing president, Ganduje, is from the North, and Bukar Dalori will be the interim"&amp;" president until another president is elected in the electoral process."" Abdullahi Umar Ganduje resigned after two years as chairman of the All Progressives Congress political party.")</f>
        <v>"People who come from the area where the chairman who resigned must be elected and not be an interim until the political party election system is held." He added, "The outgoing president, Ganduje, is from the North, and Bukar Dalori will be the interim president until another president is elected in the electoral process." Abdullahi Umar Ganduje resigned after two years as chairman of the All Progressives Congress political party.</v>
      </c>
    </row>
    <row r="889" ht="15.75" customHeight="1">
      <c r="A889" s="2" t="s">
        <v>926</v>
      </c>
      <c r="B889" s="2" t="str">
        <f>IFERROR(__xludf.DUMMYFUNCTION("GOOGLETRANSLATE(A889, ""yo"", ""en"")"),"This action took place after the conflict broke out last week at the APC political party meeting in Northern Nigeria.")</f>
        <v>This action took place after the conflict broke out last week at the APC political party meeting in Northern Nigeria.</v>
      </c>
    </row>
    <row r="890" ht="15.75" customHeight="1">
      <c r="A890" s="2" t="s">
        <v>927</v>
      </c>
      <c r="B890" s="2" t="str">
        <f>IFERROR(__xludf.DUMMYFUNCTION("GOOGLETRANSLATE(A890, ""yo"", ""en"")"),"Here at the meeting, some members were angry that President Tinubu did not announce his deputy, Kashim Shettima, as the person who will run together as President and Vice President in the 2027 presidential election.")</f>
        <v>Here at the meeting, some members were angry that President Tinubu did not announce his deputy, Kashim Shettima, as the person who will run together as President and Vice President in the 2027 presidential election.</v>
      </c>
    </row>
    <row r="891" ht="15.75" customHeight="1">
      <c r="A891" s="2" t="s">
        <v>928</v>
      </c>
      <c r="B891" s="2" t="str">
        <f>IFERROR(__xludf.DUMMYFUNCTION("GOOGLETRANSLATE(A891, ""yo"", ""en"")"),"Abdullahi Umar was born in Ganduje village in Dawakin Tofa local government in Kano state in 1949.")</f>
        <v>Abdullahi Umar was born in Ganduje village in Dawakin Tofa local government in Kano state in 1949.</v>
      </c>
    </row>
    <row r="892" ht="15.75" customHeight="1">
      <c r="A892" s="2" t="s">
        <v>929</v>
      </c>
      <c r="B892" s="2" t="str">
        <f>IFERROR(__xludf.DUMMYFUNCTION("GOOGLETRANSLATE(A892, ""yo"", ""en"")"),"He started reading the Koran and learning about Islam in the village, and went to Dawakin Tofa primary school from 1956 to 1963.")</f>
        <v>He started reading the Koran and learning about Islam in the village, and went to Dawakin Tofa primary school from 1956 to 1963.</v>
      </c>
    </row>
    <row r="893" ht="15.75" customHeight="1">
      <c r="A893" s="2" t="s">
        <v>930</v>
      </c>
      <c r="B893" s="2" t="str">
        <f>IFERROR(__xludf.DUMMYFUNCTION("GOOGLETRANSLATE(A893, ""yo"", ""en"")"),"Ganduje attended Birnin Kudu Grammar School in 1964 and graduated in 1968.")</f>
        <v>Ganduje attended Birnin Kudu Grammar School in 1964 and graduated in 1968.</v>
      </c>
    </row>
    <row r="894" ht="15.75" customHeight="1">
      <c r="A894" s="2" t="s">
        <v>931</v>
      </c>
      <c r="B894" s="2" t="str">
        <f>IFERROR(__xludf.DUMMYFUNCTION("GOOGLETRANSLATE(A894, ""yo"", ""en"")"),"He also went to the school for teachers in Kano between 1969 and 1972.")</f>
        <v>He also went to the school for teachers in Kano between 1969 and 1972.</v>
      </c>
    </row>
    <row r="895" ht="15.75" customHeight="1">
      <c r="A895" s="2" t="s">
        <v>932</v>
      </c>
      <c r="B895" s="2" t="str">
        <f>IFERROR(__xludf.DUMMYFUNCTION("GOOGLETRANSLATE(A895, ""yo"", ""en"")"),"He is the former governor of Kano state, and received his degree in education from Ahmadu Bello University, Zaria, Kaduna state in 1975.")</f>
        <v>He is the former governor of Kano state, and received his degree in education from Ahmadu Bello University, Zaria, Kaduna state in 1975.</v>
      </c>
    </row>
    <row r="896" ht="15.75" customHeight="1">
      <c r="A896" s="2" t="s">
        <v>933</v>
      </c>
      <c r="B896" s="2" t="str">
        <f>IFERROR(__xludf.DUMMYFUNCTION("GOOGLETRANSLATE(A896, ""yo"", ""en"")"),"In 1979, he obtained a Masters degree from Bayero University, Kano, and returned to Ahmadu Bello University in 1984 to 1985 to study Public Administration.")</f>
        <v>In 1979, he obtained a Masters degree from Bayero University, Kano, and returned to Ahmadu Bello University in 1984 to 1985 to study Public Administration.</v>
      </c>
    </row>
    <row r="897" ht="15.75" customHeight="1">
      <c r="A897" s="2" t="s">
        <v>934</v>
      </c>
      <c r="B897" s="2" t="str">
        <f>IFERROR(__xludf.DUMMYFUNCTION("GOOGLETRANSLATE(A897, ""yo"", ""en"")"),"He received his PhD from the University of Ibadan in 1993.")</f>
        <v>He received his PhD from the University of Ibadan in 1993.</v>
      </c>
    </row>
    <row r="898" ht="15.75" customHeight="1">
      <c r="A898" s="2" t="s">
        <v>935</v>
      </c>
      <c r="B898" s="2" t="str">
        <f>IFERROR(__xludf.DUMMYFUNCTION("GOOGLETRANSLATE(A898, ""yo"", ""en"")"),"Ganduje joined the NPN political party during the second civilian government, and was the Deputy Speaker of the Kano State House of Assembly from 1979 to 1980.")</f>
        <v>Ganduje joined the NPN political party during the second civilian government, and was the Deputy Speaker of the Kano State House of Assembly from 1979 to 1980.</v>
      </c>
    </row>
    <row r="899" ht="15.75" customHeight="1">
      <c r="A899" s="2" t="s">
        <v>936</v>
      </c>
      <c r="B899" s="2" t="str">
        <f>IFERROR(__xludf.DUMMYFUNCTION("GOOGLETRANSLATE(A899, ""yo"", ""en"")"),"He ran for the lower house of parliament in 1979 under the NPN political party but was defeated.")</f>
        <v>He ran for the lower house of parliament in 1979 under the NPN political party but was defeated.</v>
      </c>
    </row>
    <row r="900" ht="15.75" customHeight="1">
      <c r="A900" s="2" t="s">
        <v>937</v>
      </c>
      <c r="B900" s="2" t="str">
        <f>IFERROR(__xludf.DUMMYFUNCTION("GOOGLETRANSLATE(A900, ""yo"", ""en"")"),"In 1998, he joined the PDP political party and tried to get a ticket for the governorship but again he lost to Rabi'u Musa Kwankwaso.")</f>
        <v>In 1998, he joined the PDP political party and tried to get a ticket for the governorship but again he lost to Rabi'u Musa Kwankwaso.</v>
      </c>
    </row>
    <row r="901" ht="15.75" customHeight="1">
      <c r="A901" s="2" t="s">
        <v>938</v>
      </c>
      <c r="B901" s="2" t="str">
        <f>IFERROR(__xludf.DUMMYFUNCTION("GOOGLETRANSLATE(A901, ""yo"", ""en"")"),"But Ganduje stepped in as deputy governor for Kwankwaso between 1999 and 2003.")</f>
        <v>But Ganduje stepped in as deputy governor for Kwankwaso between 1999 and 2003.</v>
      </c>
    </row>
    <row r="902" ht="15.75" customHeight="1">
      <c r="A902" s="2" t="s">
        <v>939</v>
      </c>
      <c r="B902" s="2" t="str">
        <f>IFERROR(__xludf.DUMMYFUNCTION("GOOGLETRANSLATE(A902, ""yo"", ""en"")"),"In the same way, they also came out together and entered Kano between 2011 and 2015.")</f>
        <v>In the same way, they also came out together and entered Kano between 2011 and 2015.</v>
      </c>
    </row>
    <row r="903" ht="15.75" customHeight="1">
      <c r="A903" s="2" t="s">
        <v>940</v>
      </c>
      <c r="B903" s="2" t="str">
        <f>IFERROR(__xludf.DUMMYFUNCTION("GOOGLETRANSLATE(A903, ""yo"", ""en"")"),"In 2015, Dr.")</f>
        <v>In 2015, Dr.</v>
      </c>
    </row>
    <row r="904" ht="15.75" customHeight="1">
      <c r="A904" s="2" t="s">
        <v>941</v>
      </c>
      <c r="B904" s="2" t="str">
        <f>IFERROR(__xludf.DUMMYFUNCTION("GOOGLETRANSLATE(A904, ""yo"", ""en"")"),"Abdullahi Umar Ganduje came in as the Governor of Knao state, and served two terms between 2015 and 2023.")</f>
        <v>Abdullahi Umar Ganduje came in as the Governor of Knao state, and served two terms between 2015 and 2023.</v>
      </c>
    </row>
    <row r="905" ht="15.75" customHeight="1">
      <c r="A905" s="2" t="s">
        <v>942</v>
      </c>
      <c r="B905" s="2" t="str">
        <f>IFERROR(__xludf.DUMMYFUNCTION("GOOGLETRANSLATE(A905, ""yo"", ""en"")"),"Government House, Aso Rock in Abuja, the meeting was held on Wednesday night, the twenty-sixth day of June 2025.")</f>
        <v>Government House, Aso Rock in Abuja, the meeting was held on Wednesday night, the twenty-sixth day of June 2025.</v>
      </c>
    </row>
    <row r="906" ht="15.75" customHeight="1">
      <c r="A906" s="2" t="s">
        <v>943</v>
      </c>
      <c r="B906" s="2" t="str">
        <f>IFERROR(__xludf.DUMMYFUNCTION("GOOGLETRANSLATE(A906, ""yo"", ""en"")"),"Pictures of Wike and Fubara sharing a smile went viral online.")</f>
        <v>Pictures of Wike and Fubara sharing a smile went viral online.</v>
      </c>
    </row>
    <row r="907" ht="15.75" customHeight="1">
      <c r="A907" s="2" t="s">
        <v>944</v>
      </c>
      <c r="B907" s="2" t="str">
        <f>IFERROR(__xludf.DUMMYFUNCTION("GOOGLETRANSLATE(A907, ""yo"", ""en"")"),"Similarly, Rivers MPs and President Tinubu were not the last in the photos.")</f>
        <v>Similarly, Rivers MPs and President Tinubu were not the last in the photos.</v>
      </c>
    </row>
    <row r="908" ht="15.75" customHeight="1">
      <c r="A908" s="2" t="s">
        <v>945</v>
      </c>
      <c r="B908" s="2" t="str">
        <f>IFERROR(__xludf.DUMMYFUNCTION("GOOGLETRANSLATE(A908, ""yo"", ""en"")"),"This made many people believe that the current state of emergency in Rivers state may end, and Fubara will regain his position.")</f>
        <v>This made many people believe that the current state of emergency in Rivers state may end, and Fubara will regain his position.</v>
      </c>
    </row>
    <row r="909" ht="15.75" customHeight="1">
      <c r="A909" s="2" t="s">
        <v>946</v>
      </c>
      <c r="B909" s="2" t="str">
        <f>IFERROR(__xludf.DUMMYFUNCTION("GOOGLETRANSLATE(A759, ""yo"", ""en"")"),"According to Dr. Gbade Ojo, there is a law related to the electoral process in Nigeria, the ""Electoral Act"" which states that if a political party does not support a person, there is an opportunity to write to leave the party.")</f>
        <v>According to Dr. Gbade Ojo, there is a law related to the electoral process in Nigeria, the "Electoral Act" which states that if a political party does not support a person, there is an opportunity to write to leave the party.</v>
      </c>
    </row>
    <row r="910" ht="15.75" customHeight="1">
      <c r="A910" s="2" t="s">
        <v>947</v>
      </c>
      <c r="B910" s="2" t="str">
        <f>IFERROR(__xludf.DUMMYFUNCTION("GOOGLETRANSLATE(A910, ""yo"", ""en"")"),"On the 18th day of March 2025, President Tinubu inaugurated Fubara, appointing Vice Admiral Ibok-Ete Ekwe as the head of Rivers state.")</f>
        <v>On the 18th day of March 2025, President Tinubu inaugurated Fubara, appointing Vice Admiral Ibok-Ete Ekwe as the head of Rivers state.</v>
      </c>
    </row>
    <row r="911" ht="15.75" customHeight="1">
      <c r="A911" s="2" t="s">
        <v>948</v>
      </c>
      <c r="B911" s="2" t="str">
        <f>IFERROR(__xludf.DUMMYFUNCTION("GOOGLETRANSLATE(A911, ""yo"", ""en"")"),"As Wike said after this meeting, he said he was ready to work with Fubara, and Fubara was also ready to work with him.")</f>
        <v>As Wike said after this meeting, he said he was ready to work with Fubara, and Fubara was also ready to work with him.</v>
      </c>
    </row>
    <row r="912" ht="15.75" customHeight="1">
      <c r="A912" s="2" t="s">
        <v>949</v>
      </c>
      <c r="B912" s="2" t="str">
        <f>IFERROR(__xludf.DUMMYFUNCTION("GOOGLETRANSLATE(A912, ""yo"", ""en"")"),"Wike said that there was a misunderstanding, they are members of the same political party.")</f>
        <v>Wike said that there was a misunderstanding, they are members of the same political party.</v>
      </c>
    </row>
    <row r="913" ht="15.75" customHeight="1">
      <c r="A913" s="2" t="s">
        <v>950</v>
      </c>
      <c r="B913" s="2" t="str">
        <f>IFERROR(__xludf.DUMMYFUNCTION("GOOGLETRANSLATE(A913, ""yo"", ""en"")"),"It is they who have come back now to meet President Tinubu.")</f>
        <v>It is they who have come back now to meet President Tinubu.</v>
      </c>
    </row>
    <row r="914" ht="15.75" customHeight="1">
      <c r="A914" s="2" t="s">
        <v>951</v>
      </c>
      <c r="B914" s="2" t="str">
        <f>IFERROR(__xludf.DUMMYFUNCTION("GOOGLETRANSLATE(A914, ""yo"", ""en"")"),"In Fubara's speech, the governor who was not relieved, said he was happy with this meeting.")</f>
        <v>In Fubara's speech, the governor who was not relieved, said he was happy with this meeting.</v>
      </c>
    </row>
    <row r="915" ht="15.75" customHeight="1">
      <c r="A915" s="2" t="s">
        <v>952</v>
      </c>
      <c r="B915" s="2" t="str">
        <f>IFERROR(__xludf.DUMMYFUNCTION("GOOGLETRANSLATE(A915, ""yo"", ""en"")"),"Fubara explained that this shows that peace will reign again in Rivers, and they will see that their friend will not turn into an enemy anymore.")</f>
        <v>Fubara explained that this shows that peace will reign again in Rivers, and they will see that their friend will not turn into an enemy anymore.</v>
      </c>
    </row>
    <row r="916" ht="15.75" customHeight="1">
      <c r="A916" s="2" t="s">
        <v>953</v>
      </c>
      <c r="B916" s="2" t="str">
        <f>IFERROR(__xludf.DUMMYFUNCTION("GOOGLETRANSLATE(A916, ""yo"", ""en"")"),"Among the things that caused the conflict: The action of the legislators to depose the governor Fubara, which happened in October 2023.")</f>
        <v>Among the things that caused the conflict: The action of the legislators to depose the governor Fubara, which happened in October 2023.</v>
      </c>
    </row>
    <row r="917" ht="15.75" customHeight="1">
      <c r="A917" s="2" t="s">
        <v>954</v>
      </c>
      <c r="B917" s="2" t="str">
        <f>IFERROR(__xludf.DUMMYFUNCTION("GOOGLETRANSLATE(A917, ""yo"", ""en"")"),"Some are after Fubara, but many are already Wike who are after the division.")</f>
        <v>Some are after Fubara, but many are already Wike who are after the division.</v>
      </c>
    </row>
    <row r="918" ht="15.75" customHeight="1">
      <c r="A918" s="2" t="s">
        <v>955</v>
      </c>
      <c r="B918" s="2" t="str">
        <f>IFERROR(__xludf.DUMMYFUNCTION("GOOGLETRANSLATE(A918, ""yo"", ""en"")"),"They set fire to the Rivers State House of Assembly, they vandalized some sections there, and some people are leaving the PDP for the APC, even though they came back and said that they did not leave the party.")</f>
        <v>They set fire to the Rivers State House of Assembly, they vandalized some sections there, and some people are leaving the PDP for the APC, even though they came back and said that they did not leave the party.</v>
      </c>
    </row>
    <row r="919" ht="15.75" customHeight="1">
      <c r="A919" s="2" t="s">
        <v>956</v>
      </c>
      <c r="B919" s="2" t="str">
        <f>IFERROR(__xludf.DUMMYFUNCTION("GOOGLETRANSLATE(A919, ""yo"", ""en"")"),"The case was one-on-one in court, and the court said that Martin Amaewhule is known as the Speaker of the Rivers parliament.")</f>
        <v>The case was one-on-one in court, and the court said that Martin Amaewhule is known as the Speaker of the Rivers parliament.</v>
      </c>
    </row>
    <row r="920" ht="15.75" customHeight="1">
      <c r="A920" s="2" t="s">
        <v>957</v>
      </c>
      <c r="B920" s="2" t="str">
        <f>IFERROR(__xludf.DUMMYFUNCTION("GOOGLETRANSLATE(A920, ""yo"", ""en"")"),"The cancellation of the local government election by governor Fubara.")</f>
        <v>The cancellation of the local government election by governor Fubara.</v>
      </c>
    </row>
    <row r="921" ht="15.75" customHeight="1">
      <c r="A921" s="2" t="s">
        <v>958</v>
      </c>
      <c r="B921" s="2" t="str">
        <f>IFERROR(__xludf.DUMMYFUNCTION("GOOGLETRANSLATE(A921, ""yo"", ""en"")"),"The Supreme Court ordered that Fubara resubmit his 2025 budget proposal to Amaewhule.")</f>
        <v>The Supreme Court ordered that Fubara resubmit his 2025 budget proposal to Amaewhule.</v>
      </c>
    </row>
    <row r="922" ht="15.75" customHeight="1">
      <c r="A922" s="2" t="s">
        <v>959</v>
      </c>
      <c r="B922" s="2" t="str">
        <f>IFERROR(__xludf.DUMMYFUNCTION("GOOGLETRANSLATE(A922, ""yo"", ""en"")"),"But they have not kissed him on which President Tinubu asked Fubara to resign, on the 18th day of March, 2025.")</f>
        <v>But they have not kissed him on which President Tinubu asked Fubara to resign, on the 18th day of March, 2025.</v>
      </c>
    </row>
    <row r="923" ht="15.75" customHeight="1">
      <c r="A923" s="2" t="s">
        <v>960</v>
      </c>
      <c r="B923" s="2" t="str">
        <f>IFERROR(__xludf.DUMMYFUNCTION("GOOGLETRANSLATE(A923, ""yo"", ""en"")"),"The president stopped the members of the state parliament as well, and declared the city closed.")</f>
        <v>The president stopped the members of the state parliament as well, and declared the city closed.</v>
      </c>
    </row>
    <row r="924" ht="15.75" customHeight="1">
      <c r="A924" s="2" t="s">
        <v>961</v>
      </c>
      <c r="B924" s="2" t="str">
        <f>IFERROR(__xludf.DUMMYFUNCTION("GOOGLETRANSLATE(A924, ""yo"", ""en"")"),"Many people have expressed their displeasure at the appointment of Vice Admiral Ibok-Ete Ekwe Ibas, a member of Cross River State, whose government has not been able to move Rivers.")</f>
        <v>Many people have expressed their displeasure at the appointment of Vice Admiral Ibok-Ete Ekwe Ibas, a member of Cross River State, whose government has not been able to move Rivers.</v>
      </c>
    </row>
    <row r="925" ht="15.75" customHeight="1">
      <c r="A925" s="2" t="s">
        <v>962</v>
      </c>
      <c r="B925" s="2" t="str">
        <f>IFERROR(__xludf.DUMMYFUNCTION("GOOGLETRANSLATE(A925, ""yo"", ""en"")"),"*The appointment of twenty-three local government supervisors in Rivers state, also left speculation.")</f>
        <v>*The appointment of twenty-three local government supervisors in Rivers state, also left speculation.</v>
      </c>
    </row>
    <row r="926" ht="15.75" customHeight="1">
      <c r="A926" s="2" t="s">
        <v>963</v>
      </c>
      <c r="B926" s="2" t="str">
        <f>IFERROR(__xludf.DUMMYFUNCTION("GOOGLETRANSLATE(A926, ""yo"", ""en"")"),"Many people are saying that this is a coincidence, and that only one political party is benefiting from it.")</f>
        <v>Many people are saying that this is a coincidence, and that only one political party is benefiting from it.</v>
      </c>
    </row>
    <row r="927" ht="15.75" customHeight="1">
      <c r="A927" s="2" t="s">
        <v>964</v>
      </c>
      <c r="B927" s="2" t="str">
        <f>IFERROR(__xludf.DUMMYFUNCTION("GOOGLETRANSLATE(A927, ""yo"", ""en"")"),"* The signing of a member of Cross River state, Micheal Ekpai to lead the Rivers local government election is causing controversy.")</f>
        <v>* The signing of a member of Cross River state, Micheal Ekpai to lead the Rivers local government election is causing controversy.</v>
      </c>
    </row>
    <row r="928" ht="15.75" customHeight="1">
      <c r="A928" s="2" t="s">
        <v>965</v>
      </c>
      <c r="B928" s="2" t="str">
        <f>IFERROR(__xludf.DUMMYFUNCTION("GOOGLETRANSLATE(A928, ""yo"", ""en"")"),"But whether the friendship of Wike and Fubara will start again and bring positive changes soon no one knows.")</f>
        <v>But whether the friendship of Wike and Fubara will start again and bring positive changes soon no one knows.</v>
      </c>
    </row>
    <row r="929" ht="15.75" customHeight="1">
      <c r="A929" s="2" t="s">
        <v>966</v>
      </c>
      <c r="B929" s="2" t="str">
        <f>IFERROR(__xludf.DUMMYFUNCTION("GOOGLETRANSLATE(A929, ""yo"", ""en"")"),"What will happen to the cases in court on this matter of Wike and Fubara?")</f>
        <v>What will happen to the cases in court on this matter of Wike and Fubara?</v>
      </c>
    </row>
    <row r="930" ht="15.75" customHeight="1">
      <c r="A930" s="2" t="s">
        <v>967</v>
      </c>
      <c r="B930" s="2" t="str">
        <f>IFERROR(__xludf.DUMMYFUNCTION("GOOGLETRANSLATE(A930, ""yo"", ""en"")"),"And the caretaker government of Vice Admiral Ibok-Ete Ekwe Ibas is doing?")</f>
        <v>And the caretaker government of Vice Admiral Ibok-Ete Ekwe Ibas is doing?</v>
      </c>
    </row>
    <row r="931" ht="15.75" customHeight="1">
      <c r="A931" s="2" t="s">
        <v>962</v>
      </c>
      <c r="B931" s="2" t="str">
        <f>IFERROR(__xludf.DUMMYFUNCTION("GOOGLETRANSLATE(A931, ""yo"", ""en"")"),"*The appointment of twenty-three local government supervisors in Rivers state, also left speculation.")</f>
        <v>*The appointment of twenty-three local government supervisors in Rivers state, also left speculation.</v>
      </c>
    </row>
    <row r="932" ht="15.75" customHeight="1">
      <c r="A932" s="2" t="s">
        <v>963</v>
      </c>
      <c r="B932" s="2" t="str">
        <f>IFERROR(__xludf.DUMMYFUNCTION("GOOGLETRANSLATE(A932, ""yo"", ""en"")"),"Many people are saying that this is a coincidence, and that only one political party is benefiting from it.")</f>
        <v>Many people are saying that this is a coincidence, and that only one political party is benefiting from it.</v>
      </c>
    </row>
    <row r="933" ht="15.75" customHeight="1">
      <c r="A933" s="2" t="s">
        <v>964</v>
      </c>
      <c r="B933" s="2" t="str">
        <f>IFERROR(__xludf.DUMMYFUNCTION("GOOGLETRANSLATE(A933, ""yo"", ""en"")"),"* The signing of a member of Cross River state, Micheal Ekpai to lead the Rivers local government election is causing controversy.")</f>
        <v>* The signing of a member of Cross River state, Micheal Ekpai to lead the Rivers local government election is causing controversy.</v>
      </c>
    </row>
    <row r="934" ht="15.75" customHeight="1">
      <c r="A934" s="2" t="s">
        <v>965</v>
      </c>
      <c r="B934" s="2" t="str">
        <f>IFERROR(__xludf.DUMMYFUNCTION("GOOGLETRANSLATE(A934, ""yo"", ""en"")"),"But whether the friendship of Wike and Fubara will start again and bring positive changes soon no one knows.")</f>
        <v>But whether the friendship of Wike and Fubara will start again and bring positive changes soon no one knows.</v>
      </c>
    </row>
    <row r="935" ht="15.75" customHeight="1">
      <c r="A935" s="2" t="s">
        <v>966</v>
      </c>
      <c r="B935" s="2" t="str">
        <f>IFERROR(__xludf.DUMMYFUNCTION("GOOGLETRANSLATE(A935, ""yo"", ""en"")"),"What will happen to the cases in court on this matter of Wike and Fubara?")</f>
        <v>What will happen to the cases in court on this matter of Wike and Fubara?</v>
      </c>
    </row>
    <row r="936" ht="15.75" customHeight="1">
      <c r="A936" s="2" t="s">
        <v>967</v>
      </c>
      <c r="B936" s="2" t="str">
        <f>IFERROR(__xludf.DUMMYFUNCTION("GOOGLETRANSLATE(A936, ""yo"", ""en"")"),"And the caretaker government of Vice Admiral Ibok-Ete Ekwe Ibas is doing?")</f>
        <v>And the caretaker government of Vice Admiral Ibok-Ete Ekwe Ibas is doing?</v>
      </c>
    </row>
    <row r="937" ht="15.75" customHeight="1">
      <c r="A937" s="2" t="s">
        <v>968</v>
      </c>
      <c r="B937" s="2" t="str">
        <f>IFERROR(__xludf.DUMMYFUNCTION("GOOGLETRANSLATE(A937, ""yo"", ""en"")"),"Tinubu said that Nigeria has gone through difficult times and that the time has come to reap the benefits of the past.")</f>
        <v>Tinubu said that Nigeria has gone through difficult times and that the time has come to reap the benefits of the past.</v>
      </c>
    </row>
    <row r="938" ht="15.75" customHeight="1">
      <c r="A938" s="2" t="s">
        <v>969</v>
      </c>
      <c r="B938" s="2" t="str">
        <f>IFERROR(__xludf.DUMMYFUNCTION("GOOGLETRANSLATE(A938, ""yo"", ""en"")"),"When he was talking about the things that the government has done during his tenure as the president of Nigeria.")</f>
        <v>When he was talking about the things that the government has done during his tenure as the president of Nigeria.</v>
      </c>
    </row>
    <row r="939" ht="15.75" customHeight="1">
      <c r="A939" s="2" t="s">
        <v>970</v>
      </c>
      <c r="B939" s="2" t="str">
        <f>IFERROR(__xludf.DUMMYFUNCTION("GOOGLETRANSLATE(A939, ""yo"", ""en"")"),"He said all Nigerians need to cooperate to see that all the achievements bear good fruit and that the federal government will continue to see that the Nigerian economy remains prosperous.")</f>
        <v>He said all Nigerians need to cooperate to see that all the achievements bear good fruit and that the federal government will continue to see that the Nigerian economy remains prosperous.</v>
      </c>
    </row>
    <row r="940" ht="15.75" customHeight="1">
      <c r="A940" s="2" t="s">
        <v>971</v>
      </c>
      <c r="B940" s="2" t="str">
        <f>IFERROR(__xludf.DUMMYFUNCTION("GOOGLETRANSLATE(A940, ""yo"", ""en"")"),"Tinubu said it is true that some people think that Nigeria should be somewhere as a country but the president is not where Nigeria was economically when it gained independence.")</f>
        <v>Tinubu said it is true that some people think that Nigeria should be somewhere as a country but the president is not where Nigeria was economically when it gained independence.</v>
      </c>
    </row>
    <row r="941" ht="15.75" customHeight="1">
      <c r="A941" s="2" t="s">
        <v>972</v>
      </c>
      <c r="B941" s="2" t="str">
        <f>IFERROR(__xludf.DUMMYFUNCTION("GOOGLETRANSLATE(A941, ""yo"", ""en"")"),"He said that under his administration, the price of food has decreased by 20% in the month of August this year which is the lowest in the three years that he has been in office.")</f>
        <v>He said that under his administration, the price of food has decreased by 20% in the month of August this year which is the lowest in the three years that he has been in office.</v>
      </c>
    </row>
    <row r="942" ht="15.75" customHeight="1">
      <c r="A942" s="2" t="s">
        <v>973</v>
      </c>
      <c r="B942" s="2" t="str">
        <f>IFERROR(__xludf.DUMMYFUNCTION("GOOGLETRANSLATE(A942, ""yo"", ""en"")"),"He added that they are working to see that the promotion of agriculture is on track and to increase food production and to reduce the cost of food.")</f>
        <v>He added that they are working to see that the promotion of agriculture is on track and to increase food production and to reduce the cost of food.</v>
      </c>
    </row>
    <row r="943" ht="15.75" customHeight="1">
      <c r="A943" s="2" t="s">
        <v>974</v>
      </c>
      <c r="B943" s="2" t="str">
        <f>IFERROR(__xludf.DUMMYFUNCTION("GOOGLETRANSLATE(A943, ""yo"", ""en"")"),"He continued that there has been an increase in how they spend money without relying on the oil money which is worth 20 trillion naira in the year 2025 alone.")</f>
        <v>He continued that there has been an increase in how they spend money without relying on the oil money which is worth 20 trillion naira in the year 2025 alone.</v>
      </c>
    </row>
    <row r="944" ht="15.75" customHeight="1">
      <c r="A944" s="2" t="s">
        <v>975</v>
      </c>
      <c r="B944" s="2" t="str">
        <f>IFERROR(__xludf.DUMMYFUNCTION("GOOGLETRANSLATE(A944, ""yo"", ""en"")"),"He also added that the money they are saving against the debt they are paying is less.")</f>
        <v>He also added that the money they are saving against the debt they are paying is less.</v>
      </c>
    </row>
    <row r="945" ht="15.75" customHeight="1">
      <c r="A945" s="2" t="s">
        <v>976</v>
      </c>
      <c r="B945" s="2" t="str">
        <f>IFERROR(__xludf.DUMMYFUNCTION("GOOGLETRANSLATE(A945, ""yo"", ""en"")"),"The president in Nigeria is now importing a lot of products to foreign countries, apart from rubber only, instead of Nigeria relying on imported products as it used to be.")</f>
        <v>The president in Nigeria is now importing a lot of products to foreign countries, apart from rubber only, instead of Nigeria relying on imported products as it used to be.</v>
      </c>
    </row>
    <row r="946" ht="15.75" customHeight="1">
      <c r="A946" s="2" t="s">
        <v>977</v>
      </c>
      <c r="B946" s="2" t="str">
        <f>IFERROR(__xludf.DUMMYFUNCTION("GOOGLETRANSLATE(A946, ""yo"", ""en"")"),"Tinubu believes that the promotion of the Nigerian education system is different from the way it was in the year 1960 when Nigeria gained independence.")</f>
        <v>Tinubu believes that the promotion of the Nigerian education system is different from the way it was in the year 1960 when Nigeria gained independence.</v>
      </c>
    </row>
    <row r="947" ht="15.75" customHeight="1">
      <c r="A947" s="2" t="s">
        <v>978</v>
      </c>
      <c r="B947" s="2" t="str">
        <f>IFERROR(__xludf.DUMMYFUNCTION("GOOGLETRANSLATE(A947, ""yo"", ""en"")"),"There were 120 secondary schools in Nigeria in 1960 but the current number of secondary schools in Nigeria will be over 23,000 in 2024.")</f>
        <v>There were 120 secondary schools in Nigeria in 1960 but the current number of secondary schools in Nigeria will be over 23,000 in 2024.</v>
      </c>
    </row>
    <row r="948" ht="15.75" customHeight="1">
      <c r="A948" s="2" t="s">
        <v>979</v>
      </c>
      <c r="B948" s="2" t="str">
        <f>IFERROR(__xludf.DUMMYFUNCTION("GOOGLETRANSLATE(A948, ""yo"", ""en"")"),"He added that after the University of Ibadan and the Yaba College of Technology in Nigeria at the time of independence, there were 274 universities, 183 public schools, and 236 teacher training schools by the end of 2024.")</f>
        <v>He added that after the University of Ibadan and the Yaba College of Technology in Nigeria at the time of independence, there were 274 universities, 183 public schools, and 236 teacher training schools by the end of 2024.</v>
      </c>
    </row>
    <row r="949" ht="15.75" customHeight="1">
      <c r="A949" s="2" t="s">
        <v>980</v>
      </c>
      <c r="B949" s="2" t="str">
        <f>IFERROR(__xludf.DUMMYFUNCTION("GOOGLETRANSLATE(A949, ""yo"", ""en"")"),"The president said they are continuing to work with security agencies to ensure that there is a reliable security system in Nigeria and to ensure that the economy grows.")</f>
        <v>The president said they are continuing to work with security agencies to ensure that there is a reliable security system in Nigeria and to ensure that the economy grows.</v>
      </c>
    </row>
    <row r="950" ht="15.75" customHeight="1">
      <c r="A950" s="2" t="s">
        <v>981</v>
      </c>
      <c r="B950" s="2" t="str">
        <f>IFERROR(__xludf.DUMMYFUNCTION("GOOGLETRANSLATE(A950, ""yo"", ""en"")"),"He said that security guards are working hard to ensure that there is security for all Nigerians.")</f>
        <v>He said that security guards are working hard to ensure that there is security for all Nigerians.</v>
      </c>
    </row>
    <row r="951" ht="15.75" customHeight="1">
      <c r="A951" s="2" t="s">
        <v>982</v>
      </c>
      <c r="B951" s="2" t="str">
        <f>IFERROR(__xludf.DUMMYFUNCTION("GOOGLETRANSLATE(A951, ""yo"", ""en"")"),"He said they are winning against the devils and gunmen who are active all over Nigeria especially Boko Haram in the north east, IPOB and ESN in the south east.")</f>
        <v>He said they are winning against the devils and gunmen who are active all over Nigeria especially Boko Haram in the north east, IPOB and ESN in the south east.</v>
      </c>
    </row>
    <row r="952" ht="15.75" customHeight="1">
      <c r="A952" s="2" t="s">
        <v>983</v>
      </c>
      <c r="B952" s="2" t="str">
        <f>IFERROR(__xludf.DUMMYFUNCTION("GOOGLETRANSLATE(A952, ""yo"", ""en"")"),"He added that many are returning to their homes as peace has returned to many areas where the Muslims are causing trouble.")</f>
        <v>He added that many are returning to their homes as peace has returned to many areas where the Muslims are causing trouble.</v>
      </c>
    </row>
    <row r="953" ht="15.75" customHeight="1">
      <c r="A953" s="2" t="s">
        <v>984</v>
      </c>
      <c r="B953" s="2" t="str">
        <f>IFERROR(__xludf.DUMMYFUNCTION("GOOGLETRANSLATE(A953, ""yo"", ""en"")"),"While talking about the youth, the president said the youth are the future of Nigeria, and they must continue to do great things in science, technology, sports and bring development to Nigeria.")</f>
        <v>While talking about the youth, the president said the youth are the future of Nigeria, and they must continue to do great things in science, technology, sports and bring development to Nigeria.</v>
      </c>
    </row>
    <row r="954" ht="15.75" customHeight="1">
      <c r="A954" s="2" t="s">
        <v>985</v>
      </c>
      <c r="B954" s="2" t="str">
        <f>IFERROR(__xludf.DUMMYFUNCTION("GOOGLETRANSLATE(A954, ""yo"", ""en"")"),"He added that they created the NELFUND program to support young people in their education which has benefited more than 510,000 students across Nigeria.")</f>
        <v>He added that they created the NELFUND program to support young people in their education which has benefited more than 510,000 students across Nigeria.</v>
      </c>
    </row>
    <row r="955" ht="15.75" customHeight="1">
      <c r="A955" s="2" t="s">
        <v>986</v>
      </c>
      <c r="B955" s="2" t="str">
        <f>IFERROR(__xludf.DUMMYFUNCTION("GOOGLETRANSLATE(A955, ""yo"", ""en"")"),"President, more than 228 higher education institutions have benefited from the marriage program worth N99.5bn within one year of its implementation.")</f>
        <v>President, more than 228 higher education institutions have benefited from the marriage program worth N99.5bn within one year of its implementation.</v>
      </c>
    </row>
    <row r="956" ht="15.75" customHeight="1">
      <c r="A956" s="2" t="s">
        <v>987</v>
      </c>
      <c r="B956" s="2" t="str">
        <f>IFERROR(__xludf.DUMMYFUNCTION("GOOGLETRANSLATE(A956, ""yo"", ""en"")"),"He also added that Nigerians whose number is 153,000 have been given 30 billion naira bridewealth to buy vehicles, household appliances and so on.")</f>
        <v>He also added that Nigerians whose number is 153,000 have been given 30 billion naira bridewealth to buy vehicles, household appliances and so on.</v>
      </c>
    </row>
    <row r="957" ht="15.75" customHeight="1">
      <c r="A957" s="2" t="s">
        <v>988</v>
      </c>
      <c r="B957" s="2" t="str">
        <f>IFERROR(__xludf.DUMMYFUNCTION("GOOGLETRANSLATE(A957, ""yo"", ""en"")"),"But the country's fortunes are looking like those who are passing by year by year, and how things are not easy if we look at the time when the people are leading Nigeria.")</f>
        <v>But the country's fortunes are looking like those who are passing by year by year, and how things are not easy if we look at the time when the people are leading Nigeria.</v>
      </c>
    </row>
    <row r="958" ht="15.75" customHeight="1">
      <c r="A958" s="2" t="s">
        <v>989</v>
      </c>
      <c r="B958" s="2" t="str">
        <f>IFERROR(__xludf.DUMMYFUNCTION("GOOGLETRANSLATE(A958, ""yo"", ""en"")"),"Many people are fed up with this issue, so much so that they have taken the polls, and they are going abroad.")</f>
        <v>Many people are fed up with this issue, so much so that they have taken the polls, and they are going abroad.</v>
      </c>
    </row>
    <row r="959" ht="15.75" customHeight="1">
      <c r="A959" s="2" t="s">
        <v>990</v>
      </c>
      <c r="B959" s="2" t="str">
        <f>IFERROR(__xludf.DUMMYFUNCTION("GOOGLETRANSLATE(A959, ""yo"", ""en"")"),"Those who did not even stay here because of the love of Nigeria, many of them are that if they go, they will not think twice and run away.")</f>
        <v>Those who did not even stay here because of the love of Nigeria, many of them are that if they go, they will not think twice and run away.</v>
      </c>
    </row>
    <row r="960" ht="15.75" customHeight="1">
      <c r="A960" s="2" t="s">
        <v>991</v>
      </c>
      <c r="B960" s="2" t="str">
        <f>IFERROR(__xludf.DUMMYFUNCTION("GOOGLETRANSLATE(A760, ""yo"", ""en"")"),"He said that even though the law does not allow a person to be a member of two political parties, a person can burn a yam and use a knife.")</f>
        <v>He said that even though the law does not allow a person to be a member of two political parties, a person can burn a yam and use a knife.</v>
      </c>
    </row>
    <row r="961" ht="15.75" customHeight="1">
      <c r="A961" s="2" t="s">
        <v>992</v>
      </c>
      <c r="B961" s="2" t="str">
        <f>IFERROR(__xludf.DUMMYFUNCTION("GOOGLETRANSLATE(A961, ""yo"", ""en"")"),"Kidnapping is another problem that is not the last in the Nigerian crisis.")</f>
        <v>Kidnapping is another problem that is not the last in the Nigerian crisis.</v>
      </c>
    </row>
    <row r="962" ht="15.75" customHeight="1">
      <c r="A962" s="2" t="s">
        <v>993</v>
      </c>
      <c r="B962" s="2" t="str">
        <f>IFERROR(__xludf.DUMMYFUNCTION("GOOGLETRANSLATE(A962, ""yo"", ""en"")"),"There is also a lot of hunger, there is no shipping, no work, no sleep, no sleep, there is no road that can be walked on, and there is no peace that can prolong the life.")</f>
        <v>There is also a lot of hunger, there is no shipping, no work, no sleep, no sleep, there is no road that can be walked on, and there is no peace that can prolong the life.</v>
      </c>
    </row>
    <row r="963" ht="15.75" customHeight="1">
      <c r="A963" s="2" t="s">
        <v>994</v>
      </c>
      <c r="B963" s="2" t="str">
        <f>IFERROR(__xludf.DUMMYFUNCTION("GOOGLETRANSLATE(A963, ""yo"", ""en"")"),"Its conclusion is that of the Naira currency which was the king of the world's currency before, which has now become a model in the world's currency, when Nigeria was independent.")</f>
        <v>Its conclusion is that of the Naira currency which was the king of the world's currency before, which has now become a model in the world's currency, when Nigeria was independent.</v>
      </c>
    </row>
    <row r="964" ht="15.75" customHeight="1">
      <c r="A964" s="2" t="s">
        <v>995</v>
      </c>
      <c r="B964" s="2" t="str">
        <f>IFERROR(__xludf.DUMMYFUNCTION("GOOGLETRANSLATE(A964, ""yo"", ""en"")"),"""But if we look at how the Naira currency has deteriorated so far, and is far from the rest of the world's foreign currencies, you will see that it is very bad, and it has never been like this before.")</f>
        <v>"But if we look at how the Naira currency has deteriorated so far, and is far from the rest of the world's foreign currencies, you will see that it is very bad, and it has never been like this before.</v>
      </c>
    </row>
    <row r="965" ht="15.75" customHeight="1">
      <c r="A965" s="2" t="s">
        <v>996</v>
      </c>
      <c r="B965" s="2" t="str">
        <f>IFERROR(__xludf.DUMMYFUNCTION("GOOGLETRANSLATE(A965, ""yo"", ""en"")"),"""At one time in Nigeria, the Naira was stronger than the dollar.")</f>
        <v>"At one time in Nigeria, the Naira was stronger than the dollar.</v>
      </c>
    </row>
    <row r="966" ht="15.75" customHeight="1">
      <c r="A966" s="2" t="s">
        <v>997</v>
      </c>
      <c r="B966" s="2" t="str">
        <f>IFERROR(__xludf.DUMMYFUNCTION("GOOGLETRANSLATE(A966, ""yo"", ""en"")"),"Today, Naira has laughed and is calling for an awakening.")</f>
        <v>Today, Naira has laughed and is calling for an awakening.</v>
      </c>
    </row>
    <row r="967" ht="15.75" customHeight="1">
      <c r="A967" s="2" t="s">
        <v>998</v>
      </c>
      <c r="B967" s="2" t="str">
        <f>IFERROR(__xludf.DUMMYFUNCTION("GOOGLETRANSLATE(A967, ""yo"", ""en"")"),"""Many people do not know that the type of law they are making in a city, and the type of politics they are experimenting with there, often have an impact on their money and economy.")</f>
        <v>"Many people do not know that the type of law they are making in a city, and the type of politics they are experimenting with there, often have an impact on their money and economy.</v>
      </c>
    </row>
    <row r="968" ht="15.75" customHeight="1">
      <c r="A968" s="2" t="s">
        <v>999</v>
      </c>
      <c r="B968" s="2" t="str">
        <f>IFERROR(__xludf.DUMMYFUNCTION("GOOGLETRANSLATE(A968, ""yo"", ""en"")"),"A country can decide to make the value of their foreign exchange less than other currencies in the world, they can do so because of politics and so that things can be good for them economically.")</f>
        <v>A country can decide to make the value of their foreign exchange less than other currencies in the world, they can do so because of politics and so that things can be good for them economically.</v>
      </c>
    </row>
    <row r="969" ht="15.75" customHeight="1">
      <c r="A969" s="2" t="s">
        <v>1000</v>
      </c>
      <c r="B969" s="2" t="str">
        <f>IFERROR(__xludf.DUMMYFUNCTION("GOOGLETRANSLATE(A969, ""yo"", ""en"")"),"Countries like Japan and China, knowingly let their money be more valuable than that, so that the money they will pay on the market if they don't go out will hit them, and it will not be easy for them.")</f>
        <v>Countries like Japan and China, knowingly let their money be more valuable than that, so that the money they will pay on the market if they don't go out will hit them, and it will not be easy for them.</v>
      </c>
    </row>
    <row r="970" ht="15.75" customHeight="1">
      <c r="A970" s="2" t="s">
        <v>1001</v>
      </c>
      <c r="B970" s="2" t="str">
        <f>IFERROR(__xludf.DUMMYFUNCTION("GOOGLETRANSLATE(A970, ""yo"", ""en"")"),"What they are doing is they are buying and spending, and their economy is growing because of their money that is moving their country.")</f>
        <v>What they are doing is they are buying and spending, and their economy is growing because of their money that is moving their country.</v>
      </c>
    </row>
    <row r="971" ht="15.75" customHeight="1">
      <c r="A971" s="2" t="s">
        <v>1002</v>
      </c>
      <c r="B971" s="2" t="str">
        <f>IFERROR(__xludf.DUMMYFUNCTION("GOOGLETRANSLATE(A971, ""yo"", ""en"")"),"""It is not something they are doing for nothing, all the products and useful things of other towns are collected from them and they are doing it themselves.")</f>
        <v>"It is not something they are doing for nothing, all the products and useful things of other towns are collected from them and they are doing it themselves.</v>
      </c>
    </row>
    <row r="972" ht="15.75" customHeight="1">
      <c r="A972" s="2" t="s">
        <v>1003</v>
      </c>
      <c r="B972" s="2" t="str">
        <f>IFERROR(__xludf.DUMMYFUNCTION("GOOGLETRANSLATE(A972, ""yo"", ""en"")"),"""As they are using it themselves, they are selling it overseas.")</f>
        <v>"As they are using it themselves, they are selling it overseas.</v>
      </c>
    </row>
    <row r="973" ht="15.75" customHeight="1">
      <c r="A973" s="2" t="s">
        <v>1004</v>
      </c>
      <c r="B973" s="2" t="str">
        <f>IFERROR(__xludf.DUMMYFUNCTION("GOOGLETRANSLATE(A973, ""yo"", ""en"")"),"""But Nigeria should not be a country that sells what we make ourselves to other countries.")</f>
        <v>"But Nigeria should not be a country that sells what we make ourselves to other countries.</v>
      </c>
    </row>
    <row r="974" ht="15.75" customHeight="1">
      <c r="A974" s="2" t="s">
        <v>1005</v>
      </c>
      <c r="B974" s="2" t="str">
        <f>IFERROR(__xludf.DUMMYFUNCTION("GOOGLETRANSLATE(A974, ""yo"", ""en"")"),"""Raw material that they can use to make what other countries need is what we are sending up the sea.")</f>
        <v>"Raw material that they can use to make what other countries need is what we are sending up the sea.</v>
      </c>
    </row>
    <row r="975" ht="15.75" customHeight="1">
      <c r="A975" s="2" t="s">
        <v>1006</v>
      </c>
      <c r="B975" s="2" t="str">
        <f>IFERROR(__xludf.DUMMYFUNCTION("GOOGLETRANSLATE(A975, ""yo"", ""en"")"),"""The meaning of this is that if we export these kinds of things abroad, we will spend a lot of money to buy back the things they made with ours, and it will hurt our economy.")</f>
        <v>"The meaning of this is that if we export these kinds of things abroad, we will spend a lot of money to buy back the things they made with ours, and it will hurt our economy.</v>
      </c>
    </row>
    <row r="976" ht="15.75" customHeight="1">
      <c r="A976" s="2" t="s">
        <v>1007</v>
      </c>
      <c r="B976" s="2" t="str">
        <f>IFERROR(__xludf.DUMMYFUNCTION("GOOGLETRANSLATE(A976, ""yo"", ""en"")"),"""Unsurprisingly, for the past three days, our government has been producing a number of comic books.")</f>
        <v>"Unsurprisingly, for the past three days, our government has been producing a number of comic books.</v>
      </c>
    </row>
    <row r="977" ht="15.75" customHeight="1">
      <c r="A977" s="2" t="s">
        <v>1008</v>
      </c>
      <c r="B977" s="2" t="str">
        <f>IFERROR(__xludf.DUMMYFUNCTION("GOOGLETRANSLATE(A977, ""yo"", ""en"")"),"""They are saying that the amount of Naira that can buy one dollar is decreasing, it has been entering about 1,400 naira to one dollar, and that Nigeria's foreign reserves have increased significantly, they have entered 42 billion dollars.")</f>
        <v>"They are saying that the amount of Naira that can buy one dollar is decreasing, it has been entering about 1,400 naira to one dollar, and that Nigeria's foreign reserves have increased significantly, they have entered 42 billion dollars.</v>
      </c>
    </row>
    <row r="978" ht="15.75" customHeight="1">
      <c r="A978" s="2" t="s">
        <v>1009</v>
      </c>
      <c r="B978" s="2" t="str">
        <f>IFERROR(__xludf.DUMMYFUNCTION("GOOGLETRANSLATE(A978, ""yo"", ""en"")"),"""This is really funny because the big number they are announcing is not visible in the Nigerian economy, nor is it visible to the public.")</f>
        <v>"This is really funny because the big number they are announcing is not visible in the Nigerian economy, nor is it visible to the public.</v>
      </c>
    </row>
    <row r="979" ht="15.75" customHeight="1">
      <c r="A979" s="2" t="s">
        <v>1010</v>
      </c>
      <c r="B979" s="2" t="str">
        <f>IFERROR(__xludf.DUMMYFUNCTION("GOOGLETRANSLATE(A979, ""yo"", ""en"")"),"""But instead, that's why everything is being thrown at him.")</f>
        <v>"But instead, that's why everything is being thrown at him.</v>
      </c>
    </row>
    <row r="980" ht="15.75" customHeight="1">
      <c r="A980" s="2" t="s">
        <v>1011</v>
      </c>
      <c r="B980" s="2" t="str">
        <f>IFERROR(__xludf.DUMMYFUNCTION("GOOGLETRANSLATE(A980, ""yo"", ""en"")"),"This makes us understand that something is not seen as it should not be seen, and it is clear that there are some people here who do not tell us the truth.")</f>
        <v>This makes us understand that something is not seen as it should not be seen, and it is clear that there are some people here who do not tell us the truth.</v>
      </c>
    </row>
    <row r="981" ht="15.75" customHeight="1">
      <c r="A981" s="2" t="s">
        <v>1012</v>
      </c>
      <c r="B981" s="2" t="str">
        <f>IFERROR(__xludf.DUMMYFUNCTION("GOOGLETRANSLATE(A981, ""yo"", ""en"")"),"The owners are saying that they do not sell, the product is taken, many products fill the market.")</f>
        <v>The owners are saying that they do not sell, the product is taken, many products fill the market.</v>
      </c>
    </row>
    <row r="982" ht="15.75" customHeight="1">
      <c r="A982" s="2" t="s">
        <v>1013</v>
      </c>
      <c r="B982" s="2" t="str">
        <f>IFERROR(__xludf.DUMMYFUNCTION("GOOGLETRANSLATE(A982, ""yo"", ""en"")"),"The meaning of this is that the ability to take money to buy things that the people need is no longer given to them, people cannot buy things that are impossible to have in their homes, let alone the things that are just architecture.")</f>
        <v>The meaning of this is that the ability to take money to buy things that the people need is no longer given to them, people cannot buy things that are impossible to have in their homes, let alone the things that are just architecture.</v>
      </c>
    </row>
    <row r="983" ht="15.75" customHeight="1">
      <c r="A983" s="2" t="s">
        <v>1014</v>
      </c>
      <c r="B983" s="2" t="str">
        <f>IFERROR(__xludf.DUMMYFUNCTION("GOOGLETRANSLATE(A983, ""yo"", ""en"")"),"""You will notice that farm products are cheaper, especially in rural markets.")</f>
        <v>"You will notice that farm products are cheaper, especially in rural markets.</v>
      </c>
    </row>
    <row r="984" ht="15.75" customHeight="1">
      <c r="A984" s="2" t="s">
        <v>1015</v>
      </c>
      <c r="B984" s="2" t="str">
        <f>IFERROR(__xludf.DUMMYFUNCTION("GOOGLETRANSLATE(A984, ""yo"", ""en"")"),"""We can say that the price of food coming from the farm is less than before.")</f>
        <v>"We can say that the price of food coming from the farm is less than before.</v>
      </c>
    </row>
    <row r="985" ht="15.75" customHeight="1">
      <c r="A985" s="2" t="s">
        <v>1016</v>
      </c>
      <c r="B985" s="2" t="str">
        <f>IFERROR(__xludf.DUMMYFUNCTION("GOOGLETRANSLATE(A985, ""yo"", ""en"")"),"But can we call this a success?")</f>
        <v>But can we call this a success?</v>
      </c>
    </row>
    <row r="986" ht="15.75" customHeight="1">
      <c r="A986" s="2" t="s">
        <v>1017</v>
      </c>
      <c r="B986" s="2" t="str">
        <f>IFERROR(__xludf.DUMMYFUNCTION("GOOGLETRANSLATE(A986, ""yo"", ""en"")"),"Yes, it is written again.")</f>
        <v>Yes, it is written again.</v>
      </c>
    </row>
    <row r="987" ht="15.75" customHeight="1">
      <c r="A987" s="2" t="s">
        <v>1018</v>
      </c>
      <c r="B987" s="2" t="str">
        <f>IFERROR(__xludf.DUMMYFUNCTION("GOOGLETRANSLATE(A987, ""yo"", ""en"")"),"""If the way it should have been taken was that they took this reduction, we can say that they did it well.")</f>
        <v>"If the way it should have been taken was that they took this reduction, we can say that they did it well.</v>
      </c>
    </row>
    <row r="988" ht="15.75" customHeight="1">
      <c r="A988" s="2" t="s">
        <v>1019</v>
      </c>
      <c r="B988" s="2" t="str">
        <f>IFERROR(__xludf.DUMMYFUNCTION("GOOGLETRANSLATE(A988, ""yo"", ""en"")"),"""But what we see is that the government is allowing food items to come in from the sea.")</f>
        <v>"But what we see is that the government is allowing food items to come in from the sea.</v>
      </c>
    </row>
    <row r="989" ht="15.75" customHeight="1">
      <c r="A989" s="2" t="s">
        <v>1020</v>
      </c>
      <c r="B989" s="2" t="str">
        <f>IFERROR(__xludf.DUMMYFUNCTION("GOOGLETRANSLATE(A989, ""yo"", ""en"")"),"""The second reason why the profits of this farm are still a little rainy nowadays is that this is the harvest season, the profits of the farm are coming out well.")</f>
        <v>"The second reason why the profits of this farm are still a little rainy nowadays is that this is the harvest season, the profits of the farm are coming out well.</v>
      </c>
    </row>
    <row r="990" ht="15.75" customHeight="1">
      <c r="A990" s="2" t="s">
        <v>1021</v>
      </c>
      <c r="B990" s="2" t="str">
        <f>IFERROR(__xludf.DUMMYFUNCTION("GOOGLETRANSLATE(A990, ""yo"", ""en"")"),"""Farmers do not see any wisdom in doing it than selling it outside, because it is increasing and your money will be reduced.")</f>
        <v>"Farmers do not see any wisdom in doing it than selling it outside, because it is increasing and your money will be reduced.</v>
      </c>
    </row>
    <row r="991" ht="15.75" customHeight="1">
      <c r="A991" s="2" t="s">
        <v>1022</v>
      </c>
      <c r="B991" s="2" t="str">
        <f>IFERROR(__xludf.DUMMYFUNCTION("GOOGLETRANSLATE(A991, ""yo"", ""en"")"),"""As the Nigerian government is allowing the importation of products from overseas, it cannot benefit our farmers and the Nigerian economy.")</f>
        <v>"As the Nigerian government is allowing the importation of products from overseas, it cannot benefit our farmers and the Nigerian economy.</v>
      </c>
    </row>
    <row r="992" ht="15.75" customHeight="1">
      <c r="A992" s="2" t="s">
        <v>1023</v>
      </c>
      <c r="B992" s="2" t="str">
        <f>IFERROR(__xludf.DUMMYFUNCTION("GOOGLETRANSLATE(A992, ""yo"", ""en"")"),"It will just be with him.")</f>
        <v>It will just be with him.</v>
      </c>
    </row>
    <row r="993" ht="15.75" customHeight="1">
      <c r="A993" s="2" t="s">
        <v>1024</v>
      </c>
      <c r="B993" s="2" t="str">
        <f>IFERROR(__xludf.DUMMYFUNCTION("GOOGLETRANSLATE(A993, ""yo"", ""en"")"),"""The cities that we are buying agricultural products from are benefiting from subsidy intervention on their own market, not so for us who are buying it from our own.")</f>
        <v>"The cities that we are buying agricultural products from are benefiting from subsidy intervention on their own market, not so for us who are buying it from our own.</v>
      </c>
    </row>
    <row r="994" ht="15.75" customHeight="1">
      <c r="A994" s="2" t="s">
        <v>1025</v>
      </c>
      <c r="B994" s="2" t="str">
        <f>IFERROR(__xludf.DUMMYFUNCTION("GOOGLETRANSLATE(A994, ""yo"", ""en"")"),"""Nigerian farmers do not see the benefit of financial assistance, how can we compare them to each other.")</f>
        <v>"Nigerian farmers do not see the benefit of financial assistance, how can we compare them to each other.</v>
      </c>
    </row>
    <row r="995" ht="15.75" customHeight="1">
      <c r="A995" s="2" t="s">
        <v>1026</v>
      </c>
      <c r="B995" s="2" t="str">
        <f>IFERROR(__xludf.DUMMYFUNCTION("GOOGLETRANSLATE(A995, ""yo"", ""en"")"),"""The Nigerian government has a lot of work to do if they want the economy of this city to return to its former glory.")</f>
        <v>"The Nigerian government has a lot of work to do if they want the economy of this city to return to its former glory.</v>
      </c>
    </row>
    <row r="996" ht="15.75" customHeight="1">
      <c r="A996" s="2" t="s">
        <v>1027</v>
      </c>
      <c r="B996" s="2" t="str">
        <f>IFERROR(__xludf.DUMMYFUNCTION("GOOGLETRANSLATE(A996, ""yo"", ""en"")"),"""These things that have been announced and not taken care of are causing problems for the money and economy of Nigeria, and this does not affect whether we are independent or not.")</f>
        <v>"These things that have been announced and not taken care of are causing problems for the money and economy of Nigeria, and this does not affect whether we are independent or not.</v>
      </c>
    </row>
    <row r="997" ht="15.75" customHeight="1">
      <c r="A997" s="2" t="s">
        <v>1028</v>
      </c>
      <c r="B997" s="2" t="str">
        <f>IFERROR(__xludf.DUMMYFUNCTION("GOOGLETRANSLATE(A997, ""yo"", ""en"")"),"""If a country wants to have a stable economy, if it wants its money to be stable in the world market, it must make sure that it provides what it needs itself.")</f>
        <v>"If a country wants to have a stable economy, if it wants its money to be stable in the world market, it must make sure that it provides what it needs itself.</v>
      </c>
    </row>
    <row r="998" ht="15.75" customHeight="1">
      <c r="A998" s="2" t="s">
        <v>1029</v>
      </c>
      <c r="B998" s="2" t="str">
        <f>IFERROR(__xludf.DUMMYFUNCTION("GOOGLETRANSLATE(A998, ""yo"", ""en"")"),"""You must see that he spends a lot of money to help them with what they need from overseas.")</f>
        <v>"You must see that he spends a lot of money to help them with what they need from overseas.</v>
      </c>
    </row>
    <row r="999" ht="15.75" customHeight="1">
      <c r="A999" s="2" t="s">
        <v>1030</v>
      </c>
      <c r="B999" s="2" t="str">
        <f>IFERROR(__xludf.DUMMYFUNCTION("GOOGLETRANSLATE(A999, ""yo"", ""en"")"),"""Similarly, there are departments where the people need help, so that the government does not hurt them.")</f>
        <v>"Similarly, there are departments where the people need help, so that the government does not hurt them.</v>
      </c>
    </row>
    <row r="1000" ht="15.75" customHeight="1">
      <c r="A1000" s="2" t="s">
        <v>1031</v>
      </c>
      <c r="B1000" s="2" t="str">
        <f>IFERROR(__xludf.DUMMYFUNCTION("GOOGLETRANSLATE(A1000, ""yo"", ""en"")"),"""The conclusion is that they should be honest, and serve their country and its people with transparency."" So said Bisi Iniwura.")</f>
        <v>"The conclusion is that they should be honest, and serve their country and its people with transparency." So said Bisi Iniwura.</v>
      </c>
    </row>
    <row r="1001" ht="15.75" customHeight="1">
      <c r="A1001" s="2" t="s">
        <v>1032</v>
      </c>
      <c r="B1001" s="2" t="str">
        <f>IFERROR(__xludf.DUMMYFUNCTION("GOOGLETRANSLATE(A1001, ""yo"", ""en"")"),"A former Minister of News and Popularity, Professor Jerry Gana has had a former president in Nigeria, Goodluck Jonathan will contest the election to replace the president under the banner of the Peoples Democratic Party, PDP in 2027.")</f>
        <v>A former Minister of News and Popularity, Professor Jerry Gana has had a former president in Nigeria, Goodluck Jonathan will contest the election to replace the president under the banner of the Peoples Democratic Party, PDP in 2027.</v>
      </c>
    </row>
    <row r="1002" ht="15.75" customHeight="1">
      <c r="A1002" s="2" t="s">
        <v>1033</v>
      </c>
      <c r="B1002" s="2" t="str">
        <f>IFERROR(__xludf.DUMMYFUNCTION("GOOGLETRANSLATE(A1002, ""yo"", ""en"")"),"While speaking to journalists in Minna, Niger state at the PDP political party conference, Gana said that two presidents have ruled Nigeria after Jonathan and people are longing for Jonathan's return.")</f>
        <v>While speaking to journalists in Minna, Niger state at the PDP political party conference, Gana said that two presidents have ruled Nigeria after Jonathan and people are longing for Jonathan's return.</v>
      </c>
    </row>
    <row r="1003" ht="15.75" customHeight="1">
      <c r="A1003" s="2" t="s">
        <v>1034</v>
      </c>
      <c r="B1003" s="2" t="str">
        <f>IFERROR(__xludf.DUMMYFUNCTION("GOOGLETRANSLATE(A1003, ""yo"", ""en"")"),"He said Jonathan resigned from the presidency of Nigeria in 2015 because he believed that no Nigerian's blood was worthy to participate in the election process.")</f>
        <v>He said Jonathan resigned from the presidency of Nigeria in 2015 because he believed that no Nigerian's blood was worthy to participate in the election process.</v>
      </c>
    </row>
    <row r="1004" ht="15.75" customHeight="1">
      <c r="A1004" s="2" t="s">
        <v>1035</v>
      </c>
      <c r="B1004" s="2" t="str">
        <f>IFERROR(__xludf.DUMMYFUNCTION("GOOGLETRANSLATE(A1004, ""yo"", ""en"")"),"""Nigerians have seen a difference, a visible difference between Jonathan's administration and the two governments that followed him, and they are calling for him to return to office.")</f>
        <v>"Nigerians have seen a difference, a visible difference between Jonathan's administration and the two governments that followed him, and they are calling for him to return to office.</v>
      </c>
    </row>
    <row r="1005" ht="15.75" customHeight="1">
      <c r="A1005" s="2" t="s">
        <v>1036</v>
      </c>
      <c r="B1005" s="2" t="str">
        <f>IFERROR(__xludf.DUMMYFUNCTION("GOOGLETRANSLATE(A1005, ""yo"", ""en"")"),"He believes that this is why PDP is still the most popular party in Nigeria.")</f>
        <v>He believes that this is why PDP is still the most popular party in Nigeria.</v>
      </c>
    </row>
    <row r="1006" ht="15.75" customHeight="1">
      <c r="A1006" s="2" t="s">
        <v>1037</v>
      </c>
      <c r="B1006" s="2" t="str">
        <f>IFERROR(__xludf.DUMMYFUNCTION("GOOGLETRANSLATE(A1006, ""yo"", ""en"")"),"On the issue that the PDP political party has some priorities, it means that all the challenges that are happening in the party have been resolved by the elders of the party, and that is that they are preparing for the work that is in front of them for 20"&amp;"27.")</f>
        <v>On the issue that the PDP political party has some priorities, it means that all the challenges that are happening in the party have been resolved by the elders of the party, and that is that they are preparing for the work that is in front of them for 2027.</v>
      </c>
    </row>
    <row r="1007" ht="15.75" customHeight="1">
      <c r="A1007" s="2" t="s">
        <v>1038</v>
      </c>
      <c r="B1007" s="2" t="str">
        <f>IFERROR(__xludf.DUMMYFUNCTION("GOOGLETRANSLATE(A1007, ""yo"", ""en"")"),"He also urged the people to be vigilant, to vote the current government out of office, and to return Jonathan as president.")</f>
        <v>He also urged the people to be vigilant, to vote the current government out of office, and to return Jonathan as president.</v>
      </c>
    </row>
    <row r="1008" ht="15.75" customHeight="1">
      <c r="A1008" s="2" t="s">
        <v>1039</v>
      </c>
      <c r="B1008" s="2" t="str">
        <f>IFERROR(__xludf.DUMMYFUNCTION("GOOGLETRANSLATE(A1008, ""yo"", ""en"")"),"BBC News Yoruba news on your WhatsApp Join us at End of podcast promotion Also, the president's office has come to Jerry Gana to respond on the issue of how Nigerians have not forgotten how Jonathan ruled when he was president.")</f>
        <v>BBC News Yoruba news on your WhatsApp Join us at End of podcast promotion Also, the president's office has come to Jerry Gana to respond on the issue of how Nigerians have not forgotten how Jonathan ruled when he was president.</v>
      </c>
    </row>
    <row r="1009" ht="15.75" customHeight="1">
      <c r="A1009" s="2" t="s">
        <v>1040</v>
      </c>
      <c r="B1009" s="2" t="str">
        <f>IFERROR(__xludf.DUMMYFUNCTION("GOOGLETRANSLATE(A1009, ""yo"", ""en"")"),"A press release issued by Tinubu's spokesperson, Bayo Onanuga on Tuesday said that opposition groups are assembling themselves to oppose Tinubu at the 2027 election even though Tinubu is doing his best to restore the economy.")</f>
        <v>A press release issued by Tinubu's spokesperson, Bayo Onanuga on Tuesday said that opposition groups are assembling themselves to oppose Tinubu at the 2027 election even though Tinubu is doing his best to restore the economy.</v>
      </c>
    </row>
    <row r="1010" ht="15.75" customHeight="1">
      <c r="A1010" s="2" t="s">
        <v>1041</v>
      </c>
      <c r="B1010" s="2" t="str">
        <f>IFERROR(__xludf.DUMMYFUNCTION("GOOGLETRANSLATE(A1010, ""yo"", ""en"")"),"Onanuga said that Professor Jerry Gana said that Goodluck Jonathan will contest in 2027 after 12 years since he resigned.")</f>
        <v>Onanuga said that Professor Jerry Gana said that Goodluck Jonathan will contest in 2027 after 12 years since he resigned.</v>
      </c>
    </row>
    <row r="1011" ht="15.75" customHeight="1">
      <c r="A1011" s="2" t="s">
        <v>1042</v>
      </c>
      <c r="B1011" s="2" t="str">
        <f>IFERROR(__xludf.DUMMYFUNCTION("GOOGLETRANSLATE(A1011, ""yo"", ""en"")"),"He said it is necessary to warn Jonathan to allow the people he has the wisdom to bring their desires to fruition, and leave them in the middle like they did in 2015.")</f>
        <v>He said it is necessary to warn Jonathan to allow the people he has the wisdom to bring their desires to fruition, and leave them in the middle like they did in 2015.</v>
      </c>
    </row>
    <row r="1012" ht="15.75" customHeight="1">
      <c r="A1012" s="2" t="s">
        <v>1043</v>
      </c>
      <c r="B1012" s="2" t="str">
        <f>IFERROR(__xludf.DUMMYFUNCTION("GOOGLETRANSLATE(A1012, ""yo"", ""en"")"),"He believes that Jonathan can run against the president if he wants because it is his right and that president Bola Tinubu is ready to welcome him to the race.")</f>
        <v>He believes that Jonathan can run against the president if he wants because it is his right and that president Bola Tinubu is ready to welcome him to the race.</v>
      </c>
    </row>
    <row r="1013" ht="15.75" customHeight="1">
      <c r="A1013" s="2" t="s">
        <v>1044</v>
      </c>
      <c r="B1013" s="2" t="str">
        <f>IFERROR(__xludf.DUMMYFUNCTION("GOOGLETRANSLATE(A1013, ""yo"", ""en"")"),"He added that Jonathan will need to go to court because the judges will say whether Jonathan, who has been sworn in twice as president still has the right to run again under the law to run for a third term.")</f>
        <v>He added that Jonathan will need to go to court because the judges will say whether Jonathan, who has been sworn in twice as president still has the right to run again under the law to run for a third term.</v>
      </c>
    </row>
    <row r="1014" ht="15.75" customHeight="1">
      <c r="A1014" s="2" t="s">
        <v>1045</v>
      </c>
      <c r="B1014" s="2" t="str">
        <f>IFERROR(__xludf.DUMMYFUNCTION("GOOGLETRANSLATE(A1014, ""yo"", ""en"")"),"Onanuga also said that Jonathan will need to explain to the people what he has to do after six years in office without anything to show for it.")</f>
        <v>Onanuga also said that Jonathan will need to explain to the people what he has to do after six years in office without anything to show for it.</v>
      </c>
    </row>
    <row r="1015" ht="15.75" customHeight="1">
      <c r="A1015" s="2" t="s">
        <v>1046</v>
      </c>
      <c r="B1015" s="2" t="str">
        <f>IFERROR(__xludf.DUMMYFUNCTION("GOOGLETRANSLATE(A1015, ""yo"", ""en"")"),"He said that in 2010, Jonathan had more than $66bn in the government's pocket which was foreign currency but there was not more than $32bn left in the pocket when he resigned in 2015.")</f>
        <v>He said that in 2010, Jonathan had more than $66bn in the government's pocket which was foreign currency but there was not more than $32bn left in the pocket when he resigned in 2015.</v>
      </c>
    </row>
    <row r="1016" ht="15.75" customHeight="1">
      <c r="A1016" s="2" t="s">
        <v>1047</v>
      </c>
      <c r="B1016" s="2" t="str">
        <f>IFERROR(__xludf.DUMMYFUNCTION("GOOGLETRANSLATE(A1016, ""yo"", ""en"")"),"When the election process is coming, there are various disputes, especially on who can win the vote.")</f>
        <v>When the election process is coming, there are various disputes, especially on who can win the vote.</v>
      </c>
    </row>
    <row r="1017" ht="15.75" customHeight="1">
      <c r="A1017" s="2" t="s">
        <v>1048</v>
      </c>
      <c r="B1017" s="2" t="str">
        <f>IFERROR(__xludf.DUMMYFUNCTION("GOOGLETRANSLATE(A1017, ""yo"", ""en"")"),"Among the controversies that arise is whether yesterday's president in Nigeria, Goodluck Jonathan has the right to compete against the president after the law of the 2022 election system established by President Muhammadu Buhari.")</f>
        <v>Among the controversies that arise is whether yesterday's president in Nigeria, Goodluck Jonathan has the right to compete against the president after the law of the 2022 election system established by President Muhammadu Buhari.</v>
      </c>
    </row>
    <row r="1018" ht="15.75" customHeight="1">
      <c r="A1018" s="2" t="s">
        <v>1049</v>
      </c>
      <c r="B1018" s="2" t="str">
        <f>IFERROR(__xludf.DUMMYFUNCTION("GOOGLETRANSLATE(A1018, ""yo"", ""en"")"),"Among what the law says is that anyone who has been sworn in twice for the position of governor or president, either to end someone's term, is not entitled to compete for that position.")</f>
        <v>Among what the law says is that anyone who has been sworn in twice for the position of governor or president, either to end someone's term, is not entitled to compete for that position.</v>
      </c>
    </row>
    <row r="1019" ht="15.75" customHeight="1">
      <c r="A1019" s="2" t="s">
        <v>1050</v>
      </c>
      <c r="B1019" s="2" t="str">
        <f>IFERROR(__xludf.DUMMYFUNCTION("GOOGLETRANSLATE(A1019, ""yo"", ""en"")"),"It is this law that confuses people about whether Jonathan can run for the presidency of Nigeria because they have sworn in for him twice.")</f>
        <v>It is this law that confuses people about whether Jonathan can run for the presidency of Nigeria because they have sworn in for him twice.</v>
      </c>
    </row>
    <row r="1020" ht="15.75" customHeight="1">
      <c r="A1020" s="2" t="s">
        <v>1051</v>
      </c>
      <c r="B1020" s="2" t="str">
        <f>IFERROR(__xludf.DUMMYFUNCTION("GOOGLETRANSLATE (A1020, ""yo"", ""en"")"),"The first is to end the term of the president Umar Yar'adua who was out in the year 2009 and in the year 2011 when he entered the presidential election.")</f>
        <v>The first is to end the term of the president Umar Yar'adua who was out in the year 2009 and in the year 2011 when he entered the presidential election.</v>
      </c>
    </row>
    <row r="1021" ht="15.75" customHeight="1">
      <c r="A1021" s="2" t="s">
        <v>1052</v>
      </c>
      <c r="B1021" s="2" t="str">
        <f>IFERROR(__xludf.DUMMYFUNCTION("GOOGLETRANSLATE(A1021, ""yo"", ""en"")"),"Legal expert, Ademola Owolabi told BBC News Yoruba that the Nigerian constitution works forward, not backwards.")</f>
        <v>Legal expert, Ademola Owolabi told BBC News Yoruba that the Nigerian constitution works forward, not backwards.</v>
      </c>
    </row>
    <row r="1022" ht="15.75" customHeight="1">
      <c r="A1022" s="2" t="s">
        <v>1053</v>
      </c>
      <c r="B1022" s="2" t="str">
        <f>IFERROR(__xludf.DUMMYFUNCTION("GOOGLETRANSLATE(A1022, ""yo"", ""en"")"),"""If something happened yesterday, and we made a law today, the law made today cannot prevent what happened yesterday, that fire is gone."" Owolabi said that at the time when Jonathan was president in Nigeria, there was no law that a person who was sworn "&amp;"in twice would not be able to vote again.")</f>
        <v>"If something happened yesterday, and we made a law today, the law made today cannot prevent what happened yesterday, that fire is gone." Owolabi said that at the time when Jonathan was president in Nigeria, there was no law that a person who was sworn in twice would not be able to vote again.</v>
      </c>
    </row>
    <row r="1023" ht="15.75" customHeight="1">
      <c r="A1023" s="2" t="s">
        <v>1054</v>
      </c>
      <c r="B1023" s="2" t="str">
        <f>IFERROR(__xludf.DUMMYFUNCTION("GOOGLETRANSLATE(A1023, ""yo"", ""en"")"),"The law that existed at that time was that a person cannot be president for more than two terms.")</f>
        <v>The law that existed at that time was that a person cannot be president for more than two terms.</v>
      </c>
    </row>
    <row r="1024" ht="15.75" customHeight="1">
      <c r="A1024" s="2" t="s">
        <v>1055</v>
      </c>
      <c r="B1024" s="2" t="str">
        <f>IFERROR(__xludf.DUMMYFUNCTION("GOOGLETRANSLATE(A1024, ""yo"", ""en"")"),"He said it was after Jonathan left office that the law was introduced, and the law could no longer hold Jonathan.")</f>
        <v>He said it was after Jonathan left office that the law was introduced, and the law could no longer hold Jonathan.</v>
      </c>
    </row>
    <row r="1025" ht="15.75" customHeight="1">
      <c r="A1025" s="2" t="s">
        <v>1056</v>
      </c>
      <c r="B1025" s="2" t="str">
        <f>IFERROR(__xludf.DUMMYFUNCTION("GOOGLETRANSLATE(A1025, ""yo"", ""en"")"),"""If we look at the page, it will seem that Jonathan will not be able to compete against the president because the law says that the person who has been sworn in twice will not be able to replace the president but the law should have been established when"&amp;" Jonathan left office.")</f>
        <v>"If we look at the page, it will seem that Jonathan will not be able to compete against the president because the law says that the person who has been sworn in twice will not be able to replace the president but the law should have been established when Jonathan left office.</v>
      </c>
    </row>
    <row r="1026" ht="15.75" customHeight="1">
      <c r="A1026" s="2" t="s">
        <v>1057</v>
      </c>
      <c r="B1026" s="2" t="str">
        <f>IFERROR(__xludf.DUMMYFUNCTION("GOOGLETRANSLATE(A1026, ""yo"", ""en"")"),"""Our law can't fix what happened in the past, we are not a law for yesterday or tomorrow.")</f>
        <v>"Our law can't fix what happened in the past, we are not a law for yesterday or tomorrow.</v>
      </c>
    </row>
    <row r="1027" ht="15.75" customHeight="1">
      <c r="A1027" s="2" t="s">
        <v>1058</v>
      </c>
      <c r="B1027" s="2" t="str">
        <f>IFERROR(__xludf.DUMMYFUNCTION("GOOGLETRANSLATE(A1027, ""yo"", ""en"")"),"This NLC order is taking place after the misunderstanding between Dangote and PENGASSAN due to how Dangote stopped 800 workers and replaced them with Indians.")</f>
        <v>This NLC order is taking place after the misunderstanding between Dangote and PENGASSAN due to how Dangote stopped 800 workers and replaced them with Indians.</v>
      </c>
    </row>
    <row r="1028" ht="15.75" customHeight="1">
      <c r="A1028" s="2" t="s">
        <v>1059</v>
      </c>
      <c r="B1028" s="2" t="str">
        <f>IFERROR(__xludf.DUMMYFUNCTION("GOOGLETRANSLATE(A1028, ""yo"", ""en"")"),"In a press release issued by the NLC President, Joe Ajaero on Monday, the order was issued.")</f>
        <v>In a press release issued by the NLC President, Joe Ajaero on Monday, the order was issued.</v>
      </c>
    </row>
    <row r="1029" ht="15.75" customHeight="1">
      <c r="A1029" s="2" t="s">
        <v>1060</v>
      </c>
      <c r="B1029" s="2" t="str">
        <f>IFERROR(__xludf.DUMMYFUNCTION("GOOGLETRANSLATE(A1029, ""yo"", ""en"")"),"PENGASSAN and those who sell oil in Nigeria, NUPENG, Dangote is being cruel to his workers, he is suppressing their rights and giving them the wrong mother.")</f>
        <v>PENGASSAN and those who sell oil in Nigeria, NUPENG, Dangote is being cruel to his workers, he is suppressing their rights and giving them the wrong mother.</v>
      </c>
    </row>
    <row r="1030" ht="15.75" customHeight="1">
      <c r="A1030" s="2" t="s">
        <v>1061</v>
      </c>
      <c r="B1030" s="2" t="str">
        <f>IFERROR(__xludf.DUMMYFUNCTION("GOOGLETRANSLATE(A1030, ""yo"", ""en"")"),"The NLC explained that the issue has left PENGASSAN and NUPENG alone, it has now become a fight for the rights of workers across Nigeria.")</f>
        <v>The NLC explained that the issue has left PENGASSAN and NUPENG alone, it has now become a fight for the rights of workers across Nigeria.</v>
      </c>
    </row>
    <row r="1031" ht="15.75" customHeight="1">
      <c r="A1031" s="2" t="s">
        <v>1062</v>
      </c>
      <c r="B1031" s="2" t="str">
        <f>IFERROR(__xludf.DUMMYFUNCTION("GOOGLETRANSLATE(A1031, ""yo"", ""en"")"),"He said, ""The time to plead and to have a discussion that does not bear any good fruit has passed, the time has now come to take a brave step.")</f>
        <v>He said, "The time to plead and to have a discussion that does not bear any good fruit has passed, the time has now come to take a brave step.</v>
      </c>
    </row>
    <row r="1032" ht="15.75" customHeight="1">
      <c r="A1032" s="2" t="s">
        <v>1063</v>
      </c>
      <c r="B1032" s="2" t="str">
        <f>IFERROR(__xludf.DUMMYFUNCTION("GOOGLETRANSLATE(A1032, ""yo"", ""en"")"),"""We want all of you to start preparing to mobilize all Dangote company employees under your control anywhere."" Ajaero said that this order is only a way to ensure that Dangote respects the rights of his workers.")</f>
        <v>"We want all of you to start preparing to mobilize all Dangote company employees under your control anywhere." Ajaero said that this order is only a way to ensure that Dangote respects the rights of his workers.</v>
      </c>
    </row>
    <row r="1033" ht="15.75" customHeight="1">
      <c r="A1033" s="2" t="s">
        <v>1064</v>
      </c>
      <c r="B1033" s="2" t="str">
        <f>IFERROR(__xludf.DUMMYFUNCTION("GOOGLETRANSLATE(A1033, ""yo"", ""en"")"),"He concluded that they must look at Dangote's company without wasting time.")</f>
        <v>He concluded that they must look at Dangote's company without wasting time.</v>
      </c>
    </row>
    <row r="1034" ht="15.75" customHeight="1">
      <c r="A1034" s="2" t="s">
        <v>1065</v>
      </c>
      <c r="B1034" s="2" t="str">
        <f>IFERROR(__xludf.DUMMYFUNCTION("GOOGLETRANSLATE(A1034, ""yo"", ""en"")"),"The Minister of Labor, Maigari Dingyadi, has called on PENGASSAN to stop their discrimination that started yesterday.")</f>
        <v>The Minister of Labor, Maigari Dingyadi, has called on PENGASSAN to stop their discrimination that started yesterday.</v>
      </c>
    </row>
    <row r="1035" ht="15.75" customHeight="1">
      <c r="A1035" s="2" t="s">
        <v>1066</v>
      </c>
      <c r="B1035" s="2" t="str">
        <f>IFERROR(__xludf.DUMMYFUNCTION("GOOGLETRANSLATE(A1035, ""yo"", ""en"")"),"However, while speaking, the Dagote company criticized PENGASSAN that they are the ones who are pulling back the clock of Nigeria's oil future.")</f>
        <v>However, while speaking, the Dagote company criticized PENGASSAN that they are the ones who are pulling back the clock of Nigeria's oil future.</v>
      </c>
    </row>
    <row r="1036" ht="15.75" customHeight="1">
      <c r="A1036" s="2" t="s">
        <v>1067</v>
      </c>
      <c r="B1036" s="2" t="str">
        <f>IFERROR(__xludf.DUMMYFUNCTION("GOOGLETRANSLATE(A1036, ""yo"", ""en"")"),"PENGASSAN is only serving Dangote themselves and their leadership, not to make the world easy.")</f>
        <v>PENGASSAN is only serving Dangote themselves and their leadership, not to make the world easy.</v>
      </c>
    </row>
    <row r="1037" ht="15.75" customHeight="1">
      <c r="A1037" s="2" t="s">
        <v>1068</v>
      </c>
      <c r="B1037" s="2" t="str">
        <f>IFERROR(__xludf.DUMMYFUNCTION("GOOGLETRANSLATE(A1037, ""yo"", ""en"")"),"BBC News Yoruba news on your WhatsApp Join us there End of podcast promotion Now, minister Maigari Dingyadi is taking steps to bring peace between Dangote and the PENGASSAN group.")</f>
        <v>BBC News Yoruba news on your WhatsApp Join us there End of podcast promotion Now, minister Maigari Dingyadi is taking steps to bring peace between Dangote and the PENGASSAN group.</v>
      </c>
    </row>
    <row r="1038" ht="15.75" customHeight="1">
      <c r="A1038" s="2" t="s">
        <v>1069</v>
      </c>
      <c r="B1038" s="2" t="str">
        <f>IFERROR(__xludf.DUMMYFUNCTION("GOOGLETRANSLATE(A1038, ""yo"", ""en"")"),"According to what they said, the employment and recruitment company ""is discussing with Dangote and the leadership of PENGASSAN, and their discussion has shown that there is no way out other than peace."" Yes, Dingyadi has persuaded PENGASSAN that they s"&amp;"hould allow peace and end their oppression and he has sent a letter inviting the two leaders for a meeting that will be held in his office today.")</f>
        <v>According to what they said, the employment and recruitment company "is discussing with Dangote and the leadership of PENGASSAN, and their discussion has shown that there is no way out other than peace." Yes, Dingyadi has persuaded PENGASSAN that they should allow peace and end their oppression and he has sent a letter inviting the two leaders for a meeting that will be held in his office today.</v>
      </c>
    </row>
    <row r="1039" ht="15.75" customHeight="1">
      <c r="A1039" s="2" t="s">
        <v>1070</v>
      </c>
      <c r="B1039" s="2" t="str">
        <f>IFERROR(__xludf.DUMMYFUNCTION("GOOGLETRANSLATE(A1039, ""yo"", ""en"")"),"He urged PENGASSAN to stop their offensive to allow a peaceful meeting.")</f>
        <v>He urged PENGASSAN to stop their offensive to allow a peaceful meeting.</v>
      </c>
    </row>
    <row r="1040" ht="15.75" customHeight="1">
      <c r="A1040" s="2" t="s">
        <v>1071</v>
      </c>
      <c r="B1040" s="2" t="str">
        <f>IFERROR(__xludf.DUMMYFUNCTION("GOOGLETRANSLATE(A1040, ""yo"", ""en"")"),"In a press release issued by the company's spokesperson, Patience Onuobia, she said that the two parties involved in this crisis between them are important to the Nigerian economy, and they must put an end to the ongoing crisis between them.")</f>
        <v>In a press release issued by the company's spokesperson, Patience Onuobia, she said that the two parties involved in this crisis between them are important to the Nigerian economy, and they must put an end to the ongoing crisis between them.</v>
      </c>
    </row>
    <row r="1041" ht="15.75" customHeight="1">
      <c r="A1041" s="2" t="s">
        <v>1072</v>
      </c>
      <c r="B1041" s="2" t="str">
        <f>IFERROR(__xludf.DUMMYFUNCTION("GOOGLETRANSLATE(A1041, ""yo"", ""en"")"),"He said, ""Besides that the election will cause them to lose a lot of money, it will also make life difficult for Nigerians."" Now, PENGASSAN has said that they will not terminate the assignment of anything unless Dangote returns about 800 workers to thei"&amp;"r jobs without warning.")</f>
        <v>He said, "Besides that the election will cause them to lose a lot of money, it will also make life difficult for Nigerians." Now, PENGASSAN has said that they will not terminate the assignment of anything unless Dangote returns about 800 workers to their jobs without warning.</v>
      </c>
    </row>
    <row r="1042" ht="15.75" customHeight="1">
      <c r="A1042" s="2" t="s">
        <v>1073</v>
      </c>
      <c r="B1042" s="2" t="str">
        <f>IFERROR(__xludf.DUMMYFUNCTION("GOOGLETRANSLATE(A1042:A2067, ""yo"", ""en"")"),"The union of oil and gas workers in Nigeria, PENGASSAN, has announced that they will start their deployment across Nigeria starting Monday, the 29th of September.")</f>
        <v>The union of oil and gas workers in Nigeria, PENGASSAN, has announced that they will start their deployment across Nigeria starting Monday, the 29th of September.</v>
      </c>
    </row>
    <row r="1043" ht="15.75" customHeight="1">
      <c r="A1043" s="2" t="s">
        <v>1074</v>
      </c>
      <c r="B1043" s="2" t="str">
        <f>IFERROR(__xludf.DUMMYFUNCTION("GOOGLETRANSLATE(A1043, ""yo"", ""en"")"),"A press release issued by the group's secretary, Lumumba Okugbawa on Tuesday directed all their members to start a six-hour shift on Sunday and begin a day of prayer.")</f>
        <v>A press release issued by the group's secretary, Lumumba Okugbawa on Tuesday directed all their members to start a six-hour shift on Sunday and begin a day of prayer.</v>
      </c>
    </row>
    <row r="1044" ht="15.75" customHeight="1">
      <c r="A1044" s="2" t="s">
        <v>1075</v>
      </c>
      <c r="B1044" s="2" t="str">
        <f>IFERROR(__xludf.DUMMYFUNCTION("GOOGLETRANSLATE(A1044, ""yo"", ""en"")"),"The publication of the assignment will affect all the workers in the planning room and the workers who work in the field.")</f>
        <v>The publication of the assignment will affect all the workers in the planning room and the workers who work in the field.</v>
      </c>
    </row>
    <row r="1045" ht="15.75" customHeight="1">
      <c r="A1045" s="2" t="s">
        <v>1076</v>
      </c>
      <c r="B1045" s="2" t="str">
        <f>IFERROR(__xludf.DUMMYFUNCTION("GOOGLETRANSLATE(A1045, ""yo"", ""en"")"),"PENGASSAN directs all their members in companies, organizations and government departments to start the assignment starting from Monday night.")</f>
        <v>PENGASSAN directs all their members in companies, organizations and government departments to start the assignment starting from Monday night.</v>
      </c>
    </row>
    <row r="1046" ht="15.75" customHeight="1">
      <c r="A1046" s="2" t="s">
        <v>1077</v>
      </c>
      <c r="B1046" s="2" t="str">
        <f>IFERROR(__xludf.DUMMYFUNCTION("GOOGLETRANSLATE(A1046, ""yo"", ""en"")"),"The PENGASSAN group in the publication said that the reason why they want to extend the assignment is not the end as Dangote Refinery has left over 800 workers because they joined PENGASSAN.")</f>
        <v>The PENGASSAN group in the publication said that the reason why they want to extend the assignment is not the end as Dangote Refinery has left over 800 workers because they joined PENGASSAN.</v>
      </c>
    </row>
    <row r="1047" ht="15.75" customHeight="1">
      <c r="A1047" s="2" t="s">
        <v>1078</v>
      </c>
      <c r="B1047" s="2" t="str">
        <f>IFERROR(__xludf.DUMMYFUNCTION("GOOGLETRANSLATE(A1047, ""yo"", ""en"")"),"They described the behavior of the Dangote company as a violation of the rights of Nigerian workers, a violation of the Nigerian constitution, disrespect for the labor law and violation of the ILO conference.")</f>
        <v>They described the behavior of the Dangote company as a violation of the rights of Nigerian workers, a violation of the Nigerian constitution, disrespect for the labor law and violation of the ILO conference.</v>
      </c>
    </row>
    <row r="1048" ht="15.75" customHeight="1">
      <c r="A1048" s="2" t="s">
        <v>1079</v>
      </c>
      <c r="B1048" s="2" t="str">
        <f>IFERROR(__xludf.DUMMYFUNCTION("GOOGLETRANSLATE(A1048, ""yo"", ""en"")"),"They said Dangote took jobs from the workers because they joined the union and gave their work to the Indians.")</f>
        <v>They said Dangote took jobs from the workers because they joined the union and gave their work to the Indians.</v>
      </c>
    </row>
    <row r="1049" ht="15.75" customHeight="1">
      <c r="A1049" s="2" t="s">
        <v>1080</v>
      </c>
      <c r="B1049" s="2" t="str">
        <f>IFERROR(__xludf.DUMMYFUNCTION("GOOGLETRANSLATE(A1049, ""yo"", ""en"")"),"The publication that PENGASSAN had first issued on the day of Eti, the twenty-sixth day of September, they had first directed their union presidents to rip them up to block the supply of gas to the Dangote refinery.")</f>
        <v>The publication that PENGASSAN had first issued on the day of Eti, the twenty-sixth day of September, they had first directed their union presidents to rip them up to block the supply of gas to the Dangote refinery.</v>
      </c>
    </row>
    <row r="1050" ht="15.75" customHeight="1">
      <c r="A1050" s="2" t="s">
        <v>1081</v>
      </c>
      <c r="B1050" s="2" t="str">
        <f>IFERROR(__xludf.DUMMYFUNCTION("GOOGLETRANSLATE(A1050, ""yo"", ""en"")"),"""All the rubber going to the Dangote refinery must stop.")</f>
        <v>"All the rubber going to the Dangote refinery must stop.</v>
      </c>
    </row>
    <row r="1051" ht="15.75" customHeight="1">
      <c r="A1051" s="2" t="s">
        <v>1082</v>
      </c>
      <c r="B1051" s="2" t="str">
        <f>IFERROR(__xludf.DUMMYFUNCTION("GOOGLETRANSLATE(A1051, ""yo"", ""en"")"),"""The transportation of oil to the factory must stop immediately,"" the publication said.")</f>
        <v>"The transportation of oil to the factory must stop immediately," the publication said.</v>
      </c>
    </row>
    <row r="1052" ht="15.75" customHeight="1">
      <c r="A1052" s="2" t="s">
        <v>1083</v>
      </c>
      <c r="B1052" s="2" t="str">
        <f>IFERROR(__xludf.DUMMYFUNCTION("GOOGLETRANSLATE(A1052, ""yo"", ""en"")"),"In a press release issued on Tuesday, it has been said that all actions related to the supply of gas and oil to the Dangote factory will be stopped immediately.")</f>
        <v>In a press release issued on Tuesday, it has been said that all actions related to the supply of gas and oil to the Dangote factory will be stopped immediately.</v>
      </c>
    </row>
    <row r="1053" ht="15.75" customHeight="1">
      <c r="A1053" s="2" t="s">
        <v>1084</v>
      </c>
      <c r="B1053" s="2" t="str">
        <f>IFERROR(__xludf.DUMMYFUNCTION("GOOGLETRANSLATE(A1044, ""yo"", ""en"")"),"The publication of the assignment will affect all the workers in the planning room and the workers who work in the field.")</f>
        <v>The publication of the assignment will affect all the workers in the planning room and the workers who work in the field.</v>
      </c>
    </row>
    <row r="1054" ht="15.75" customHeight="1">
      <c r="A1054" s="2" t="s">
        <v>1085</v>
      </c>
      <c r="B1054" s="2" t="str">
        <f>IFERROR(__xludf.DUMMYFUNCTION("GOOGLETRANSLATE(A1054, ""yo"", ""en"")"),"Dangote's bankruptcy on the third day of the twenty-third day described the management of PENGASSAN as a terrorist attack and a violation of the law and criminality.")</f>
        <v>Dangote's bankruptcy on the third day of the twenty-third day described the management of PENGASSAN as a terrorist attack and a violation of the law and criminality.</v>
      </c>
    </row>
    <row r="1055" ht="15.75" customHeight="1">
      <c r="A1055" s="2" t="s">
        <v>1086</v>
      </c>
      <c r="B1055" s="2" t="str">
        <f>IFERROR(__xludf.DUMMYFUNCTION("GOOGLETRANSLATE(A1055, ""yo"", ""en"")"),"Dangote said there is no law in Nigeria that allows PENGASSAN to prevent the transportation of gas and oil into their refinery.")</f>
        <v>Dangote said there is no law in Nigeria that allows PENGASSAN to prevent the transportation of gas and oil into their refinery.</v>
      </c>
    </row>
    <row r="1056" ht="15.75" customHeight="1">
      <c r="A1056" s="2" t="s">
        <v>1087</v>
      </c>
      <c r="B1056" s="2" t="str">
        <f>IFERROR(__xludf.DUMMYFUNCTION("GOOGLETRANSLATE(A1056, ""yo"", ""en"")"),"They said it is a crime for PENGASSAN or any of its members to block or promote the blocking of Dangote's relationship with companies that buy products for the supply of gas and oil to the refinery.")</f>
        <v>They said it is a crime for PENGASSAN or any of its members to block or promote the blocking of Dangote's relationship with companies that buy products for the supply of gas and oil to the refinery.</v>
      </c>
    </row>
    <row r="1057" ht="15.75" customHeight="1">
      <c r="A1057" s="2" t="s">
        <v>1088</v>
      </c>
      <c r="B1057" s="2" t="str">
        <f>IFERROR(__xludf.DUMMYFUNCTION("GOOGLETRANSLATE(A1057, ""yo"", ""en"")"),"A town known as Oke-Ode, in the local government of Ifelodun is reported to have been attacked by gunmen on Sunday morning, killing ten people who were vigilantes.")</f>
        <v>A town known as Oke-Ode, in the local government of Ifelodun is reported to have been attacked by gunmen on Sunday morning, killing ten people who were vigilantes.</v>
      </c>
    </row>
    <row r="1058" ht="15.75" customHeight="1">
      <c r="A1058" s="2" t="s">
        <v>1089</v>
      </c>
      <c r="B1058" s="2" t="str">
        <f>IFERROR(__xludf.DUMMYFUNCTION("GOOGLETRANSLATE(A1058, ""yo"", ""en"")"),"Similarly, a report said that a quarter of the volunteers met the sudden death, and some were seriously injured.")</f>
        <v>Similarly, a report said that a quarter of the volunteers met the sudden death, and some were seriously injured.</v>
      </c>
    </row>
    <row r="1059" ht="15.75" customHeight="1">
      <c r="A1059" s="2" t="s">
        <v>1090</v>
      </c>
      <c r="B1059" s="2" t="str">
        <f>IFERROR(__xludf.DUMMYFUNCTION("GOOGLETRANSLATE(A1059, ""yo"", ""en"")"),"A representative who did not identify himself, explained that the gunmen misfired and were killing people.")</f>
        <v>A representative who did not identify himself, explained that the gunmen misfired and were killing people.</v>
      </c>
    </row>
    <row r="1060" ht="15.75" customHeight="1">
      <c r="A1060" s="2" t="s">
        <v>1091</v>
      </c>
      <c r="B1060" s="2" t="str">
        <f>IFERROR(__xludf.DUMMYFUNCTION("GOOGLETRANSLATE(A1060, ""yo"", ""en"")"),"He said the vigilantes tried hard to resist the gunmen, but their efforts did not include those who attacked them.")</f>
        <v>He said the vigilantes tried hard to resist the gunmen, but their efforts did not include those who attacked them.</v>
      </c>
    </row>
    <row r="1061" ht="15.75" customHeight="1">
      <c r="A1061" s="2" t="s">
        <v>1092</v>
      </c>
      <c r="B1061" s="2" t="str">
        <f>IFERROR(__xludf.DUMMYFUNCTION("GOOGLETRANSLATE(A1061, ""yo"", ""en"")"),"One of the members of the vigilante whose name is Ajetunmobi, explained in an interview, that since Saturday night they have been hearing that gunmen are in their area.")</f>
        <v>One of the members of the vigilante whose name is Ajetunmobi, explained in an interview, that since Saturday night they have been hearing that gunmen are in their area.</v>
      </c>
    </row>
    <row r="1062" ht="15.75" customHeight="1">
      <c r="A1062" s="2" t="s">
        <v>1093</v>
      </c>
      <c r="B1062" s="2" t="str">
        <f>IFERROR(__xludf.DUMMYFUNCTION("GOOGLETRANSLATE(A1062, ""yo"", ""en"")"),"He said they sent to the other ambassadors to stop the war before it happened.")</f>
        <v>He said they sent to the other ambassadors to stop the war before it happened.</v>
      </c>
    </row>
    <row r="1063" ht="15.75" customHeight="1">
      <c r="A1063" s="2" t="s">
        <v>1094</v>
      </c>
      <c r="B1063" s="2" t="str">
        <f>IFERROR(__xludf.DUMMYFUNCTION("GOOGLETRANSLATE(A1063, ""yo"", ""en"")"),"Among those who attended the event are: Oji, Saheed Metubi, Baale Ogba Ayo and so on.")</f>
        <v>Among those who attended the event are: Oji, Saheed Metubi, Baale Ogba Ayo and so on.</v>
      </c>
    </row>
    <row r="1064" ht="15.75" customHeight="1">
      <c r="A1064" s="2" t="s">
        <v>1095</v>
      </c>
      <c r="B1064" s="2" t="str">
        <f>IFERROR(__xludf.DUMMYFUNCTION("GOOGLETRANSLATE(A1064, ""yo"", ""en"")"),"The police in Ajetunmobi said that they first took the dead and the injured to the federal hospital in Saare Ajaabale BBC News Yoruba news on your WhatsApp Join us there End of podcast promotion While condoling this incident, the Governor of Kwara state, "&amp;"Abdulrahman Abdulrazaq urged the people not to fight against each other.")</f>
        <v>The police in Ajetunmobi said that they first took the dead and the injured to the federal hospital in Saare Ajaabale BBC News Yoruba news on your WhatsApp Join us there End of podcast promotion While condoling this incident, the Governor of Kwara state, Abdulrahman Abdulrazaq urged the people not to fight against each other.</v>
      </c>
    </row>
    <row r="1065" ht="15.75" customHeight="1">
      <c r="A1065" s="2" t="s">
        <v>1096</v>
      </c>
      <c r="B1065" s="2" t="str">
        <f>IFERROR(__xludf.DUMMYFUNCTION("GOOGLETRANSLATE(A1065, ""yo"", ""en"")"),"As the Governor of Kwara said in a press release issued by his press secretary, Rafiu Ajakaye on the Aiku day: ""I sympathize with the families of the victims of this incident from the bottom of my heart.")</f>
        <v>As the Governor of Kwara said in a press release issued by his press secretary, Rafiu Ajakaye on the Aiku day: "I sympathize with the families of the victims of this incident from the bottom of my heart.</v>
      </c>
    </row>
    <row r="1066" ht="15.75" customHeight="1">
      <c r="A1066" s="2" t="s">
        <v>1097</v>
      </c>
      <c r="B1066" s="2" t="str">
        <f>IFERROR(__xludf.DUMMYFUNCTION("GOOGLETRANSLATE(A1066, ""yo"", ""en"")"),"There is no explanation I can give to comfort the hearts of the wounded.")</f>
        <v>There is no explanation I can give to comfort the hearts of the wounded.</v>
      </c>
    </row>
    <row r="1067" ht="15.75" customHeight="1">
      <c r="A1067" s="2" t="s">
        <v>1098</v>
      </c>
      <c r="B1067" s="2" t="str">
        <f>IFERROR(__xludf.DUMMYFUNCTION("GOOGLETRANSLATE(A1067, ""yo"", ""en"")"),"""Despite all the efforts we are making, we are investing enough to make the poachers who are destroying our forest strong, and our people are also trying on this matter.")</f>
        <v>"Despite all the efforts we are making, we are investing enough to make the poachers who are destroying our forest strong, and our people are also trying on this matter.</v>
      </c>
    </row>
    <row r="1068" ht="15.75" customHeight="1">
      <c r="A1068" s="2" t="s">
        <v>1099</v>
      </c>
      <c r="B1068" s="2" t="str">
        <f>IFERROR(__xludf.DUMMYFUNCTION("GOOGLETRANSLATE(A1068, ""yo"", ""en"")"),"""We appreciate disabled ambassadors and their efforts, but it becomes necessary to increase our efforts.")</f>
        <v>"We appreciate disabled ambassadors and their efforts, but it becomes necessary to increase our efforts.</v>
      </c>
    </row>
    <row r="1069" ht="15.75" customHeight="1">
      <c r="A1069" s="2" t="s">
        <v>1100</v>
      </c>
      <c r="B1069" s="2" t="str">
        <f>IFERROR(__xludf.DUMMYFUNCTION("GOOGLETRANSLATE(A1069, ""yo"", ""en"")"),"""Finally, I urge the heroes of the people of Oke-Ode not to lose heart, and not to ignore their fight.")</f>
        <v>"Finally, I urge the heroes of the people of Oke-Ode not to lose heart, and not to ignore their fight.</v>
      </c>
    </row>
    <row r="1070" ht="15.75" customHeight="1">
      <c r="A1070" s="2" t="s">
        <v>1101</v>
      </c>
      <c r="B1070" s="2" t="str">
        <f>IFERROR(__xludf.DUMMYFUNCTION("GOOGLETRANSLATE(A1070, ""yo"", ""en"")"),"""That's how I congratulate the vigilantes who lost five people in their fight, and who also harmed the opponents. I will forever be grateful to all of them as our heroes."" Governor Abdulrazak called for additional troops in Kwara to deal with the securi"&amp;"ty problem.")</f>
        <v>"That's how I congratulate the vigilantes who lost five people in their fight, and who also harmed the opponents. I will forever be grateful to all of them as our heroes." Governor Abdulrazak called for additional troops in Kwara to deal with the security problem.</v>
      </c>
    </row>
    <row r="1071" ht="15.75" customHeight="1">
      <c r="A1071" s="2" t="s">
        <v>1102</v>
      </c>
      <c r="B1071" s="2" t="str">
        <f>IFERROR(__xludf.DUMMYFUNCTION("GOOGLETRANSLATE(A1071, ""yo"", ""en"")"),"On the call, the head of our military headquarters ordered, that the commander of the army in Ibadan, the second region (2 Division), should lead his troops to Kwara to help them.")</f>
        <v>On the call, the head of our military headquarters ordered, that the commander of the army in Ibadan, the second region (2 Division), should lead his troops to Kwara to help them.</v>
      </c>
    </row>
    <row r="1072" ht="15.75" customHeight="1">
      <c r="A1072" s="2" t="s">
        <v>1103</v>
      </c>
      <c r="B1072" s="2" t="str">
        <f>IFERROR(__xludf.DUMMYFUNCTION("GOOGLETRANSLATE(A1072, ""yo"", ""en"")"),"You will remember that last week the same gunmen stormed Motokun town in Patigi local government, Kwara state.")</f>
        <v>You will remember that last week the same gunmen stormed Motokun town in Patigi local government, Kwara state.</v>
      </c>
    </row>
    <row r="1073" ht="15.75" customHeight="1">
      <c r="A1073" s="2" t="s">
        <v>1104</v>
      </c>
      <c r="B1073" s="2" t="str">
        <f>IFERROR(__xludf.DUMMYFUNCTION("GOOGLETRANSLATE(A1073, ""yo"", ""en"")"),"They killed a pregnant woman, injured five others, and took eighteen people away.")</f>
        <v>They killed a pregnant woman, injured five others, and took eighteen people away.</v>
      </c>
    </row>
    <row r="1074" ht="15.75" customHeight="1">
      <c r="A1074" s="2" t="s">
        <v>1105</v>
      </c>
      <c r="B1074" s="2" t="str">
        <f>IFERROR(__xludf.DUMMYFUNCTION("GOOGLETRANSLATE(A1074, ""yo"", ""en"")"),"A press release by SP Adetoun Ejire-Adeyemi, the Kwara State Police Commander, released that day, stated that the gunmen entered Ogbayo area, Oke-Ode, Ifelodun local government, Kwara state.")</f>
        <v>A press release by SP Adetoun Ejire-Adeyemi, the Kwara State Police Commander, released that day, stated that the gunmen entered Ogbayo area, Oke-Ode, Ifelodun local government, Kwara state.</v>
      </c>
    </row>
    <row r="1075" ht="15.75" customHeight="1">
      <c r="A1075" s="2" t="s">
        <v>1106</v>
      </c>
      <c r="B1075" s="2" t="str">
        <f>IFERROR(__xludf.DUMMYFUNCTION("GOOGLETRANSLATE(A1075, ""yo"", ""en"")"),"He said they started shooting at him first, and a combination of the police and the National Forest Security Service came up to face them.")</f>
        <v>He said they started shooting at him first, and a combination of the police and the National Forest Security Service came up to face them.</v>
      </c>
    </row>
    <row r="1076" ht="15.75" customHeight="1">
      <c r="A1076" s="2" t="s">
        <v>1107</v>
      </c>
      <c r="B1076" s="2" t="str">
        <f>IFERROR(__xludf.DUMMYFUNCTION("GOOGLETRANSLATE(A1076, ""yo"", ""en"")"),"Adetoun said that there they found the dead bodies of twelve vigilantes, until he knew that of Baale of Ogbayo.")</f>
        <v>Adetoun said that there they found the dead bodies of twelve vigilantes, until he knew that of Baale of Ogbayo.</v>
      </c>
    </row>
    <row r="1077" ht="15.75" customHeight="1">
      <c r="A1077" s="2" t="s">
        <v>1108</v>
      </c>
      <c r="B1077" s="2" t="str">
        <f>IFERROR(__xludf.DUMMYFUNCTION("GOOGLETRANSLATE(A1077, ""yo"", ""en"")"),"""The rest sustained bullet injuries, four injured persons were rushed to the hospital for treatment, while the bodies were removed.")</f>
        <v>"The rest sustained bullet injuries, four injured persons were rushed to the hospital for treatment, while the bodies were removed.</v>
      </c>
    </row>
    <row r="1078" ht="15.75" customHeight="1">
      <c r="A1078" s="2" t="s">
        <v>1109</v>
      </c>
      <c r="B1078" s="2" t="str">
        <f>IFERROR(__xludf.DUMMYFUNCTION("GOOGLETRANSLATE(A1078, ""yo"", ""en"")"),"""The Kwara State Police and the armed forces and the NFSS have stepped up their efforts to arrest those involved in this incident.")</f>
        <v>"The Kwara State Police and the armed forces and the NFSS have stepped up their efforts to arrest those involved in this incident.</v>
      </c>
    </row>
    <row r="1079" ht="15.75" customHeight="1">
      <c r="A1079" s="2" t="s">
        <v>1110</v>
      </c>
      <c r="B1079" s="2" t="str">
        <f>IFERROR(__xludf.DUMMYFUNCTION("GOOGLETRANSLATE(A1079, ""yo"", ""en"")"),"""We are looking for them, and the Kwara police station has assured the people of the area that those involved in the attack will be arrested."" He added that the Kwara Police Commissioner, Adekimi Ojo, sympathizes with the families of those who lost thei"&amp;"r lives, and that the Kwara Police Agency will continue to provide security for the people there.")</f>
        <v>"We are looking for them, and the Kwara police station has assured the people of the area that those involved in the attack will be arrested." He added that the Kwara Police Commissioner, Adekimi Ojo, sympathizes with the families of those who lost their lives, and that the Kwara Police Agency will continue to provide security for the people there.</v>
      </c>
    </row>
    <row r="1080" ht="15.75" customHeight="1">
      <c r="A1080" s="2" t="s">
        <v>1111</v>
      </c>
      <c r="B1080" s="2" t="str">
        <f>IFERROR(__xludf.DUMMYFUNCTION("GOOGLETRANSLATE(A1080, ""yo"", ""en"")"),"But how do African countries see Palestine?")</f>
        <v>But how do African countries see Palestine?</v>
      </c>
    </row>
    <row r="1081" ht="15.75" customHeight="1">
      <c r="A1081" s="2" t="s">
        <v>1112</v>
      </c>
      <c r="B1081" s="2" t="str">
        <f>IFERROR(__xludf.DUMMYFUNCTION("GOOGLETRANSLATE(A1081, ""yo"", ""en"")"),"Many countries in the African region saw Palestine as a country in 1980 after the country's leader Yasser Arafat declared independence in Algiers.")</f>
        <v>Many countries in the African region saw Palestine as a country in 1980 after the country's leader Yasser Arafat declared independence in Algiers.</v>
      </c>
    </row>
    <row r="1082" ht="15.75" customHeight="1">
      <c r="A1082" s="2" t="s">
        <v>1113</v>
      </c>
      <c r="B1082" s="2" t="str">
        <f>IFERROR(__xludf.DUMMYFUNCTION("GOOGLETRANSLATE(A1082, ""yo"", ""en"")"),"Even leaders of some countries in Africa such as Thomas Sankara and Nelson Mandela compared the Palestinian freedom struggle to that of Africa.")</f>
        <v>Even leaders of some countries in Africa such as Thomas Sankara and Nelson Mandela compared the Palestinian freedom struggle to that of Africa.</v>
      </c>
    </row>
    <row r="1083" ht="15.75" customHeight="1">
      <c r="A1083" s="2" t="s">
        <v>1114</v>
      </c>
      <c r="B1083" s="2" t="str">
        <f>IFERROR(__xludf.DUMMYFUNCTION("GOOGLETRANSLATE(A1083, ""yo"", ""en"")"),"But two countries - Cameroon and Eritrea - are different.")</f>
        <v>But two countries - Cameroon and Eritrea - are different.</v>
      </c>
    </row>
    <row r="1084" ht="15.75" customHeight="1">
      <c r="A1084" s="2" t="s">
        <v>1115</v>
      </c>
      <c r="B1084" s="2" t="str">
        <f>IFERROR(__xludf.DUMMYFUNCTION("GOOGLETRANSLATE(A1084, ""yo"", ""en"")"),"BBC News Yoruba news on your WhatsApp Join us at End of podcast promotion David Otto, Director of the security department at the Geneva Center for African Security and Strategic Studies said that Israel sees Cameroon as one of the countries that has a fri"&amp;"endly relationship with Africa.")</f>
        <v>BBC News Yoruba news on your WhatsApp Join us at End of podcast promotion David Otto, Director of the security department at the Geneva Center for African Security and Strategic Studies said that Israel sees Cameroon as one of the countries that has a friendly relationship with Africa.</v>
      </c>
    </row>
    <row r="1085" ht="15.75" customHeight="1">
      <c r="A1085" s="2" t="s">
        <v>1116</v>
      </c>
      <c r="B1085" s="2" t="str">
        <f>IFERROR(__xludf.DUMMYFUNCTION("GOOGLETRANSLATE(A1085, ""yo"", ""en"")"),"""Cameroon cannot do anything to damage the relationship it has with Israel,"" said Otto.")</f>
        <v>"Cameroon cannot do anything to damage the relationship it has with Israel," said Otto.</v>
      </c>
    </row>
    <row r="1086" ht="15.75" customHeight="1">
      <c r="A1086" s="2" t="s">
        <v>1117</v>
      </c>
      <c r="B1086" s="2" t="str">
        <f>IFERROR(__xludf.DUMMYFUNCTION("GOOGLETRANSLATE(A1086, ""yo"", ""en"")"),"He said that the relationship between the countries is related to the security system.")</f>
        <v>He said that the relationship between the countries is related to the security system.</v>
      </c>
    </row>
    <row r="1087" ht="15.75" customHeight="1">
      <c r="A1087" s="2" t="s">
        <v>1118</v>
      </c>
      <c r="B1087" s="2" t="str">
        <f>IFERROR(__xludf.DUMMYFUNCTION("GOOGLETRANSLATE(A1087, ""yo"", ""en"")"),"""Israel has done a lot and continues to protect the government of Cameroon."" Israel provides training for security guards of the military and some departments which are responsible for the security of the president of Cameroon.")</f>
        <v>"Israel has done a lot and continues to protect the government of Cameroon." Israel provides training for security guards of the military and some departments which are responsible for the security of the president of Cameroon.</v>
      </c>
    </row>
    <row r="1088" ht="15.75" customHeight="1">
      <c r="A1088" s="2" t="s">
        <v>1119</v>
      </c>
      <c r="B1088" s="2" t="str">
        <f>IFERROR(__xludf.DUMMYFUNCTION("GOOGLETRANSLATE(A1088, ""yo"", ""en"")"),"""Cameroon's relationship with Israel has led Cameroon to have the relationship and support of the United States, which is a friend of Israel."" Cameroon's position on Palestine can also be part of the country's experience with the English-speaking region"&amp;" of the country.")</f>
        <v>"Cameroon's relationship with Israel has led Cameroon to have the relationship and support of the United States, which is a friend of Israel." Cameroon's position on Palestine can also be part of the country's experience with the English-speaking region of the country.</v>
      </c>
    </row>
    <row r="1089" ht="15.75" customHeight="1">
      <c r="A1089" s="2" t="s">
        <v>1120</v>
      </c>
      <c r="B1089" s="2" t="str">
        <f>IFERROR(__xludf.DUMMYFUNCTION("GOOGLETRANSLATE(A1089, ""yo"", ""en"")"),"""Accepting Palsetine as a country can make people in Cameroon call for them to allow those who want to separate from the country.")</f>
        <v>"Accepting Palsetine as a country can make people in Cameroon call for them to allow those who want to separate from the country.</v>
      </c>
    </row>
    <row r="1090" ht="15.75" customHeight="1">
      <c r="A1090" s="2" t="s">
        <v>1121</v>
      </c>
      <c r="B1090" s="2" t="str">
        <f>IFERROR(__xludf.DUMMYFUNCTION("GOOGLETRANSLATE(A1090, ""yo"", ""en"")"),"And the government of Cameroon has been saying that the country of Cameroon is one, and there is no room for division at all,"" said Otto.")</f>
        <v>And the government of Cameroon has been saying that the country of Cameroon is one, and there is no room for division at all," said Otto.</v>
      </c>
    </row>
    <row r="1091" ht="15.75" customHeight="1">
      <c r="A1091" s="2" t="s">
        <v>1122</v>
      </c>
      <c r="B1091" s="2" t="str">
        <f>IFERROR(__xludf.DUMMYFUNCTION("GOOGLETRANSLATE(A1091, ""yo"", ""en"")"),"Why does Cameroon not say anything on the issue of Palestine.")</f>
        <v>Why does Cameroon not say anything on the issue of Palestine.</v>
      </c>
    </row>
    <row r="1092" ht="15.75" customHeight="1">
      <c r="A1092" s="2" t="s">
        <v>1123</v>
      </c>
      <c r="B1092" s="2" t="str">
        <f>IFERROR(__xludf.DUMMYFUNCTION("GOOGLETRANSLATE(A1092, ""yo"", ""en"")"),"Eritrea has a history that is completely different from that of Cameroon.")</f>
        <v>Eritrea has a history that is completely different from that of Cameroon.</v>
      </c>
    </row>
    <row r="1093" ht="15.75" customHeight="1">
      <c r="A1093" s="2" t="s">
        <v>1124</v>
      </c>
      <c r="B1093" s="2" t="str">
        <f>IFERROR(__xludf.DUMMYFUNCTION("GOOGLETRANSLATE(A1093, ""yo"", ""en"")"),"One of them is Ethiopia.")</f>
        <v>One of them is Ethiopia.</v>
      </c>
    </row>
    <row r="1094" ht="15.75" customHeight="1">
      <c r="A1094" s="2" t="s">
        <v>1125</v>
      </c>
      <c r="B1094" s="2" t="str">
        <f>IFERROR(__xludf.DUMMYFUNCTION("GOOGLETRANSLATE(A1094, ""yo"", ""en"")"),"""Ethiopia in Addis Ababa was the capital of Africa at that time,"" according to political scientist Abdurahman Sayed.")</f>
        <v>"Ethiopia in Addis Ababa was the capital of Africa at that time," according to political scientist Abdurahman Sayed.</v>
      </c>
    </row>
    <row r="1095" ht="15.75" customHeight="1">
      <c r="A1095" s="2" t="s">
        <v>1126</v>
      </c>
      <c r="B1095" s="2" t="str">
        <f>IFERROR(__xludf.DUMMYFUNCTION("GOOGLETRANSLATE(A1095, ""yo"", ""en"")"),"""The military government that was in Ethiopia at that time was familiar to the Soviet Union, and it supports the rights and the struggle of Palestine."" But Eritrea at that time was fighting for its own independence from Ethiopia.")</f>
        <v>"The military government that was in Ethiopia at that time was familiar to the Soviet Union, and it supports the rights and the struggle of Palestine." But Eritrea at that time was fighting for its own independence from Ethiopia.</v>
      </c>
    </row>
    <row r="1096" ht="15.75" customHeight="1">
      <c r="A1096" s="2" t="s">
        <v>1127</v>
      </c>
      <c r="B1096" s="2" t="str">
        <f>IFERROR(__xludf.DUMMYFUNCTION("GOOGLETRANSLATE(A1096, ""yo"", ""en"")"),"""What he saw at that time was that Ethiopia was taking control of Ethiopia and the Eritreans were fighting against Ethiopia.")</f>
        <v>"What he saw at that time was that Ethiopia was taking control of Ethiopia and the Eritreans were fighting against Ethiopia.</v>
      </c>
    </row>
    <row r="1097" ht="15.75" customHeight="1">
      <c r="A1097" s="2" t="s">
        <v>1128</v>
      </c>
      <c r="B1097" s="2" t="str">
        <f>IFERROR(__xludf.DUMMYFUNCTION("GOOGLETRANSLATE(A1097, ""yo"", ""en"")"),"""In order for Palestine to have a relationship with Ethiopia, they need to move to Eritrea, and stop what Yasser Arafat did, which is not pleasing to the Eritrean people at all.")</f>
        <v>"In order for Palestine to have a relationship with Ethiopia, they need to move to Eritrea, and stop what Yasser Arafat did, which is not pleasing to the Eritrean people at all.</v>
      </c>
    </row>
    <row r="1098" ht="15.75" customHeight="1">
      <c r="A1098" s="2" t="s">
        <v>1129</v>
      </c>
      <c r="B1098" s="2" t="str">
        <f>IFERROR(__xludf.DUMMYFUNCTION("GOOGLETRANSLATE(A1098, ""yo"", ""en"")"),"However, the President of Eritrea, Isaias Afwerki, has shown compassion to the Palestinian struggle as he voted for him at an international organization in 2012.")</f>
        <v>However, the President of Eritrea, Isaias Afwerki, has shown compassion to the Palestinian struggle as he voted for him at an international organization in 2012.</v>
      </c>
    </row>
    <row r="1099" ht="15.75" customHeight="1">
      <c r="A1099" s="2" t="s">
        <v>1130</v>
      </c>
      <c r="B1099" s="2" t="str">
        <f>IFERROR(__xludf.DUMMYFUNCTION("GOOGLETRANSLATE(A1099, ""yo"", ""en"")"),"However, he also called for the peace of Oslo in 1993 as he described the kiss as a bad one that will give Palestine the power to rule the West Bank and Gaza as a guide to rule its own government.")</f>
        <v>However, he also called for the peace of Oslo in 1993 as he described the kiss as a bad one that will give Palestine the power to rule the West Bank and Gaza as a guide to rule its own government.</v>
      </c>
    </row>
    <row r="1100" ht="15.75" customHeight="1">
      <c r="A1100" s="2" t="s">
        <v>1131</v>
      </c>
      <c r="B1100" s="4" t="str">
        <f>IFERROR(__xludf.DUMMYFUNCTION("GOOGLETRANSLATE(A1100, ""yo"", ""en"")"),"President Afwerki said he does not agree with the two-faced government.")</f>
        <v>President Afwerki said he does not agree with the two-faced government.</v>
      </c>
    </row>
    <row r="1101" ht="15.75" customHeight="1">
      <c r="A1101" s="2" t="s">
        <v>1132</v>
      </c>
      <c r="B1101" s="3" t="str">
        <f>IFERROR(__xludf.DUMMYFUNCTION("GOOGLETRANSLATE(A1101, ""yo"", ""en"")"),"But he is likely to see some setbacks from his country because 55% of his people are Muslims.")</f>
        <v>But he is likely to see some setbacks from his country because 55% of his people are Muslims.</v>
      </c>
    </row>
    <row r="1102" ht="15.75" customHeight="1">
      <c r="A1102" s="2" t="s">
        <v>1133</v>
      </c>
      <c r="B1102" s="2" t="str">
        <f>IFERROR(__xludf.DUMMYFUNCTION("GOOGLETRANSLATE(A1102, ""yo"", ""en"")"),"""Eritrea came into being because it fought on its own.")</f>
        <v>"Eritrea came into being because it fought on its own.</v>
      </c>
    </row>
    <row r="1103" ht="15.75" customHeight="1">
      <c r="A1103" s="2" t="s">
        <v>1134</v>
      </c>
      <c r="B1103" s="2" t="str">
        <f>IFERROR(__xludf.DUMMYFUNCTION("GOOGLETRANSLATE(A1103, ""yo"", ""en"")"),"""For the person who led the war to fight for his freedom to never support the freedom of others,"" said Sayed.")</f>
        <v>"For the person who led the war to fight for his freedom to never support the freedom of others," said Sayed.</v>
      </c>
    </row>
    <row r="1104" ht="15.75" customHeight="1">
      <c r="A1104" s="2" t="s">
        <v>1135</v>
      </c>
      <c r="B1104" s="2" t="str">
        <f>IFERROR(__xludf.DUMMYFUNCTION("GOOGLETRANSLATE(A1104, ""yo"", ""en"")"),"The BBC contacted both governments for their response but they did not respond.")</f>
        <v>The BBC contacted both governments for their response but they did not respond.</v>
      </c>
    </row>
    <row r="1105" ht="15.75" customHeight="1">
      <c r="A1105" s="2" t="s">
        <v>1136</v>
      </c>
      <c r="B1105" s="2" t="str">
        <f>IFERROR(__xludf.DUMMYFUNCTION("GOOGLETRANSLATE(A1105, ""yo"", ""en"")"),"Adediran, who is fifty-six years old, was accused of fraud and embezzlement in Illinois in 2021.")</f>
        <v>Adediran, who is fifty-six years old, was accused of fraud and embezzlement in Illinois in 2021.</v>
      </c>
    </row>
    <row r="1106" ht="15.75" customHeight="1">
      <c r="A1106" s="2" t="s">
        <v>1137</v>
      </c>
      <c r="B1106" s="2" t="str">
        <f>IFERROR(__xludf.DUMMYFUNCTION("GOOGLETRANSLATE(A1106, ""yo"", ""en"")"),"In a press release issued by the organization, they said ""The FBI will give $10,000 to anyone who can lead us to arrest Olumide Adebiyi Adeiran."" They said the suspect tried to get money from the bank with someone else's stolen check, and he also tried "&amp;"to use the name and face of others to open the pockets of various banks.")</f>
        <v>In a press release issued by the organization, they said "The FBI will give $10,000 to anyone who can lead us to arrest Olumide Adebiyi Adeiran." They said the suspect tried to get money from the bank with someone else's stolen check, and he also tried to use the name and face of others to open the pockets of various banks.</v>
      </c>
    </row>
    <row r="1107" ht="15.75" customHeight="1">
      <c r="A1107" s="2" t="s">
        <v>1138</v>
      </c>
      <c r="B1107" s="2" t="str">
        <f>IFERROR(__xludf.DUMMYFUNCTION("GOOGLETRANSLATE(A1107, ""yo"", ""en"")"),"He fled central Illinois in December 2001 before his criminal trial began.")</f>
        <v>He fled central Illinois in December 2001 before his criminal trial began.</v>
      </c>
    </row>
    <row r="1108" ht="15.75" customHeight="1">
      <c r="A1108" s="2" t="s">
        <v>1139</v>
      </c>
      <c r="B1108" s="2" t="str">
        <f>IFERROR(__xludf.DUMMYFUNCTION("ARRAYFORMULA(GOOGLETRANSLATE(A1108:A1740,""yo"",""en""))"),"He is described as a tall man of about 5'11"" who also weighs about twenty kilos, with black hair and brown eyes. Apart from his nickname which is Olumide, he also calls himself by other names in society.")</f>
        <v>He is described as a tall man of about 5'11" who also weighs about twenty kilos, with black hair and brown eyes. Apart from his nickname which is Olumide, he also calls himself by other names in society.</v>
      </c>
    </row>
    <row r="1109" ht="15.75" customHeight="1">
      <c r="A1109" s="2" t="s">
        <v>1140</v>
      </c>
      <c r="B1109" s="2" t="str">
        <f>IFERROR(__xludf.DUMMYFUNCTION("GOOGLETRANSLATE(A1109, ""yo"", ""en"")"),"Among the names he usually calls himself are ""Kevin Olumide Adediran, Eric O.")</f>
        <v>Among the names he usually calls himself are "Kevin Olumide Adediran, Eric O.</v>
      </c>
    </row>
    <row r="1110" ht="15.75" customHeight="1">
      <c r="A1110" s="2" t="s">
        <v>1141</v>
      </c>
      <c r="B1110" s="2" t="str">
        <f>IFERROR(__xludf.DUMMYFUNCTION("GOOGLETRANSLATE(A1110, ""yo"", ""en"")"),"Williams, Maxo Alexandre, Olumide Adkins, and Edward N.")</f>
        <v>Williams, Maxo Alexandre, Olumide Adkins, and Edward N.</v>
      </c>
    </row>
    <row r="1111" ht="15.75" customHeight="1">
      <c r="A1111" s="2" t="s">
        <v>1142</v>
      </c>
      <c r="B1111" s="2" t="str">
        <f>IFERROR(__xludf.DUMMYFUNCTION("GOOGLETRANSLATE(A1111, ""yo"", ""en"")"),"Anderson."" The FBI has appealed to anyone with information about his whereabouts or information on how to contact him to contact the nearest US federal government office.")</f>
        <v>Anderson." The FBI has appealed to anyone with information about his whereabouts or information on how to contact him to contact the nearest US federal government office.</v>
      </c>
    </row>
    <row r="1112" ht="15.75" customHeight="1">
      <c r="A1112" s="2" t="s">
        <v>1143</v>
      </c>
      <c r="B1112" s="2" t="str">
        <f>IFERROR(__xludf.DUMMYFUNCTION("GOOGLETRANSLATE(A1112, ""yo"", ""en"")"),"In a discussion that took place in his house in Ibadan, he explained his vision for the city of Ibadan.")</f>
        <v>In a discussion that took place in his house in Ibadan, he explained his vision for the city of Ibadan.</v>
      </c>
    </row>
    <row r="1113" ht="15.75" customHeight="1">
      <c r="A1113" s="2" t="s">
        <v>1144</v>
      </c>
      <c r="B1113" s="2" t="str">
        <f>IFERROR(__xludf.DUMMYFUNCTION("GOOGLETRANSLATE(A1113, ""yo"", ""en"")"),"He said that the people should expect real change during his time instead of fanfare.")</f>
        <v>He said that the people should expect real change during his time instead of fanfare.</v>
      </c>
    </row>
    <row r="1114" ht="15.75" customHeight="1">
      <c r="A1114" s="2" t="s">
        <v>1145</v>
      </c>
      <c r="B1114" s="2" t="str">
        <f>IFERROR(__xludf.DUMMYFUNCTION("GOOGLETRANSLATE(A1114, ""yo"", ""en"")"),"According to him, all his time as a businessman and politician has prepared him for the new position.")</f>
        <v>According to him, all his time as a businessman and politician has prepared him for the new position.</v>
      </c>
    </row>
    <row r="1115" ht="15.75" customHeight="1">
      <c r="A1115" s="2" t="s">
        <v>1146</v>
      </c>
      <c r="B1115" s="2" t="str">
        <f>IFERROR(__xludf.DUMMYFUNCTION("GOOGLETRANSLATE(A1115, ""yo"", ""en"")"),"He said, ""Ibadan was the glory of western Nigeria in the old days and I want us to go back to where we were before.")</f>
        <v>He said, "Ibadan was the glory of western Nigeria in the old days and I want us to go back to where we were before.</v>
      </c>
    </row>
    <row r="1116" ht="15.75" customHeight="1">
      <c r="A1116" s="2" t="s">
        <v>1147</v>
      </c>
      <c r="B1116" s="2" t="str">
        <f>IFERROR(__xludf.DUMMYFUNCTION("GOOGLETRANSLATE(A818, ""yo"", ""en"")"),"We must be a political party that will talk about education, we have to build schools.")</f>
        <v>We must be a political party that will talk about education, we have to build schools.</v>
      </c>
    </row>
    <row r="1117" ht="15.75" customHeight="1">
      <c r="A1117" s="2" t="s">
        <v>1148</v>
      </c>
      <c r="B1117" s="2" t="str">
        <f>IFERROR(__xludf.DUMMYFUNCTION("GOOGLETRANSLATE(A1117, ""yo"", ""en"")"),"The former governor described himself as someone who prefers a humble life instead of a lavish lifestyle.")</f>
        <v>The former governor described himself as someone who prefers a humble life instead of a lavish lifestyle.</v>
      </c>
    </row>
    <row r="1118" ht="15.75" customHeight="1">
      <c r="A1118" s="2" t="s">
        <v>1149</v>
      </c>
      <c r="B1118" s="2" t="s">
        <v>3</v>
      </c>
    </row>
    <row r="1119" ht="15.75" customHeight="1">
      <c r="A1119" s="2" t="s">
        <v>1150</v>
      </c>
      <c r="B1119" s="2" t="s">
        <v>5</v>
      </c>
    </row>
    <row r="1120" ht="15.75" customHeight="1">
      <c r="A1120" s="2" t="s">
        <v>1151</v>
      </c>
      <c r="B1120" s="3" t="s">
        <v>7</v>
      </c>
    </row>
    <row r="1121" ht="15.75" customHeight="1">
      <c r="A1121" s="2" t="s">
        <v>1152</v>
      </c>
      <c r="B1121" s="2" t="s">
        <v>9</v>
      </c>
    </row>
    <row r="1122" ht="15.75" customHeight="1">
      <c r="A1122" s="2" t="s">
        <v>1153</v>
      </c>
      <c r="B1122" s="2" t="s">
        <v>11</v>
      </c>
    </row>
    <row r="1123" ht="15.75" customHeight="1">
      <c r="A1123" s="2" t="s">
        <v>1154</v>
      </c>
      <c r="B1123" s="2" t="s">
        <v>13</v>
      </c>
    </row>
    <row r="1124" ht="15.75" customHeight="1">
      <c r="A1124" s="2" t="s">
        <v>1155</v>
      </c>
      <c r="B1124" s="2" t="s">
        <v>15</v>
      </c>
    </row>
    <row r="1125" ht="15.75" customHeight="1">
      <c r="A1125" s="2" t="s">
        <v>1156</v>
      </c>
      <c r="B1125" s="2" t="s">
        <v>17</v>
      </c>
    </row>
    <row r="1126" ht="15.75" customHeight="1">
      <c r="A1126" s="2" t="s">
        <v>1157</v>
      </c>
      <c r="B1126" s="2" t="s">
        <v>19</v>
      </c>
    </row>
    <row r="1127" ht="15.75" customHeight="1">
      <c r="A1127" s="2" t="s">
        <v>1158</v>
      </c>
      <c r="B1127" s="2" t="s">
        <v>21</v>
      </c>
    </row>
    <row r="1128" ht="15.75" customHeight="1">
      <c r="A1128" s="2" t="s">
        <v>1159</v>
      </c>
      <c r="B1128" s="2" t="s">
        <v>23</v>
      </c>
    </row>
    <row r="1129" ht="15.75" customHeight="1">
      <c r="A1129" s="2" t="s">
        <v>1160</v>
      </c>
      <c r="B1129" s="2" t="s">
        <v>25</v>
      </c>
    </row>
    <row r="1130" ht="15.75" customHeight="1">
      <c r="A1130" s="2" t="s">
        <v>1161</v>
      </c>
      <c r="B1130" s="2" t="s">
        <v>27</v>
      </c>
    </row>
    <row r="1131" ht="15.75" customHeight="1">
      <c r="A1131" s="2" t="s">
        <v>1162</v>
      </c>
      <c r="B1131" s="2" t="str">
        <f>IFERROR(__xludf.DUMMYFUNCTION("GOOGLETRANSLATE(A1131, ""yo"", ""en"")"),"He followed in the footsteps of his elder brother who was re-elected in 2009 but passed away while still on probation in 2012.")</f>
        <v>He followed in the footsteps of his elder brother who was re-elected in 2009 but passed away while still on probation in 2012.</v>
      </c>
    </row>
    <row r="1132" ht="15.75" customHeight="1">
      <c r="A1132" s="2" t="s">
        <v>1163</v>
      </c>
      <c r="B1132" s="2" t="s">
        <v>30</v>
      </c>
    </row>
    <row r="1133" ht="15.75" customHeight="1">
      <c r="A1133" s="2" t="s">
        <v>1164</v>
      </c>
      <c r="B1133" s="2" t="s">
        <v>32</v>
      </c>
    </row>
    <row r="1134" ht="15.75" customHeight="1">
      <c r="A1134" s="2" t="s">
        <v>1165</v>
      </c>
      <c r="B1134" s="2" t="s">
        <v>34</v>
      </c>
    </row>
    <row r="1135" ht="15.75" customHeight="1">
      <c r="A1135" s="2" t="s">
        <v>1166</v>
      </c>
      <c r="B1135" s="2" t="s">
        <v>36</v>
      </c>
    </row>
    <row r="1136" ht="15.75" customHeight="1">
      <c r="A1136" s="2" t="s">
        <v>1167</v>
      </c>
      <c r="B1136" s="2" t="s">
        <v>38</v>
      </c>
    </row>
    <row r="1137" ht="15.75" customHeight="1">
      <c r="A1137" s="2" t="s">
        <v>1168</v>
      </c>
      <c r="B1137" s="2" t="s">
        <v>40</v>
      </c>
    </row>
    <row r="1138" ht="15.75" customHeight="1">
      <c r="A1138" s="2" t="s">
        <v>1169</v>
      </c>
      <c r="B1138" s="2" t="s">
        <v>42</v>
      </c>
    </row>
    <row r="1139" ht="15.75" customHeight="1">
      <c r="A1139" s="2" t="s">
        <v>1170</v>
      </c>
      <c r="B1139" s="2" t="s">
        <v>44</v>
      </c>
    </row>
    <row r="1140" ht="15.75" customHeight="1">
      <c r="A1140" s="2" t="s">
        <v>1171</v>
      </c>
      <c r="B1140" s="2" t="s">
        <v>46</v>
      </c>
    </row>
    <row r="1141" ht="15.75" customHeight="1">
      <c r="A1141" s="2" t="s">
        <v>1172</v>
      </c>
      <c r="B1141" s="2" t="s">
        <v>48</v>
      </c>
    </row>
    <row r="1142" ht="15.75" customHeight="1">
      <c r="A1142" s="2" t="s">
        <v>1173</v>
      </c>
      <c r="B1142" s="2" t="s">
        <v>50</v>
      </c>
    </row>
    <row r="1143" ht="15.75" customHeight="1">
      <c r="A1143" s="2" t="s">
        <v>1174</v>
      </c>
      <c r="B1143" s="2" t="s">
        <v>52</v>
      </c>
    </row>
    <row r="1144" ht="15.75" customHeight="1">
      <c r="A1144" s="2" t="s">
        <v>1175</v>
      </c>
      <c r="B1144" s="2" t="s">
        <v>54</v>
      </c>
    </row>
    <row r="1145" ht="15.75" customHeight="1">
      <c r="A1145" s="2" t="s">
        <v>1176</v>
      </c>
      <c r="B1145" s="2" t="s">
        <v>56</v>
      </c>
    </row>
    <row r="1146" ht="15.75" customHeight="1">
      <c r="A1146" s="2" t="s">
        <v>1177</v>
      </c>
      <c r="B1146" s="2" t="s">
        <v>58</v>
      </c>
    </row>
    <row r="1147" ht="15.75" customHeight="1">
      <c r="A1147" s="2" t="s">
        <v>1178</v>
      </c>
      <c r="B1147" s="2" t="s">
        <v>1179</v>
      </c>
    </row>
    <row r="1148" ht="15.75" customHeight="1">
      <c r="A1148" s="2" t="s">
        <v>1180</v>
      </c>
      <c r="B1148" s="2" t="str">
        <f>IFERROR(__xludf.DUMMYFUNCTION("GOOGLETRANSLATE(A1148, ""yo"", ""en"")"),"The first place visitors will be able to park their vehicles on the day of Eti is the North Ibadan local government parking lot in Agodi area.")</f>
        <v>The first place visitors will be able to park their vehicles on the day of Eti is the North Ibadan local government parking lot in Agodi area.</v>
      </c>
    </row>
    <row r="1149" ht="15.75" customHeight="1">
      <c r="A1149" s="2" t="s">
        <v>1181</v>
      </c>
      <c r="B1149" s="2" t="s">
        <v>63</v>
      </c>
    </row>
    <row r="1150" ht="15.75" customHeight="1">
      <c r="A1150" s="2" t="s">
        <v>1182</v>
      </c>
      <c r="B1150" s="2" t="s">
        <v>65</v>
      </c>
    </row>
    <row r="1151" ht="15.75" customHeight="1">
      <c r="A1151" s="2" t="s">
        <v>1183</v>
      </c>
      <c r="B1151" s="2" t="s">
        <v>67</v>
      </c>
    </row>
    <row r="1152" ht="15.75" customHeight="1">
      <c r="A1152" s="2" t="s">
        <v>1184</v>
      </c>
      <c r="B1152" s="2" t="s">
        <v>69</v>
      </c>
    </row>
    <row r="1153" ht="15.75" customHeight="1">
      <c r="A1153" s="2" t="s">
        <v>1185</v>
      </c>
      <c r="B1153" s="2" t="s">
        <v>71</v>
      </c>
    </row>
    <row r="1154" ht="15.75" customHeight="1">
      <c r="A1154" s="2" t="s">
        <v>1186</v>
      </c>
      <c r="B1154" s="2" t="s">
        <v>73</v>
      </c>
    </row>
    <row r="1155" ht="15.75" customHeight="1">
      <c r="A1155" s="2" t="s">
        <v>1187</v>
      </c>
      <c r="B1155" s="2" t="s">
        <v>75</v>
      </c>
    </row>
    <row r="1156" ht="15.75" customHeight="1">
      <c r="A1156" s="2" t="s">
        <v>1188</v>
      </c>
      <c r="B1156" s="2" t="str">
        <f>IFERROR(__xludf.DUMMYFUNCTION("GOOGLETRANSLATE(A1156, ""yo"", ""en"")"),"When he wanted to open the office, Mr. Adedeji said, ""I am Alabi Adedeji, the deputy head of the women's program of the parliament opened the office of Senator Natasha Akpoti."" In February 2025, a misunderstanding occurred in the Nigerian parliament, be"&amp;"tween the president of the house, Senator Godswill Akpabio and Senator Natasha Akpoti-Uduaghan.")</f>
        <v>When he wanted to open the office, Mr. Adedeji said, "I am Alabi Adedeji, the deputy head of the women's program of the parliament opened the office of Senator Natasha Akpoti." In February 2025, a misunderstanding occurred in the Nigerian parliament, between the president of the house, Senator Godswill Akpabio and Senator Natasha Akpoti-Uduaghan.</v>
      </c>
    </row>
    <row r="1157" ht="15.75" customHeight="1">
      <c r="A1157" s="2" t="s">
        <v>1189</v>
      </c>
      <c r="B1157" s="2" t="s">
        <v>78</v>
      </c>
    </row>
    <row r="1158" ht="15.75" customHeight="1">
      <c r="A1158" s="2" t="s">
        <v>1190</v>
      </c>
      <c r="B1158" s="2" t="s">
        <v>80</v>
      </c>
    </row>
    <row r="1159" ht="15.75" customHeight="1">
      <c r="A1159" s="2" t="s">
        <v>1191</v>
      </c>
      <c r="B1159" s="2" t="s">
        <v>82</v>
      </c>
    </row>
    <row r="1160" ht="15.75" customHeight="1">
      <c r="A1160" s="2" t="s">
        <v>1192</v>
      </c>
      <c r="B1160" s="2" t="s">
        <v>84</v>
      </c>
    </row>
    <row r="1161" ht="15.75" customHeight="1">
      <c r="A1161" s="2" t="s">
        <v>1193</v>
      </c>
      <c r="B1161" s="2" t="s">
        <v>86</v>
      </c>
    </row>
    <row r="1162" ht="15.75" customHeight="1">
      <c r="A1162" s="2" t="s">
        <v>1194</v>
      </c>
      <c r="B1162" s="2" t="s">
        <v>88</v>
      </c>
    </row>
    <row r="1163" ht="15.75" customHeight="1">
      <c r="A1163" s="2" t="s">
        <v>1195</v>
      </c>
      <c r="B1163" s="2" t="s">
        <v>90</v>
      </c>
    </row>
    <row r="1164" ht="15.75" customHeight="1">
      <c r="A1164" s="2" t="s">
        <v>1196</v>
      </c>
      <c r="B1164" s="2" t="s">
        <v>92</v>
      </c>
    </row>
    <row r="1165" ht="15.75" customHeight="1">
      <c r="A1165" s="2" t="s">
        <v>1197</v>
      </c>
      <c r="B1165" s="2" t="s">
        <v>94</v>
      </c>
    </row>
    <row r="1166" ht="15.75" customHeight="1">
      <c r="A1166" s="2" t="s">
        <v>1198</v>
      </c>
      <c r="B1166" s="2" t="s">
        <v>96</v>
      </c>
    </row>
    <row r="1167" ht="15.75" customHeight="1">
      <c r="A1167" s="2" t="s">
        <v>1199</v>
      </c>
      <c r="B1167" s="2" t="s">
        <v>98</v>
      </c>
    </row>
    <row r="1168" ht="15.75" customHeight="1">
      <c r="A1168" s="2" t="s">
        <v>1200</v>
      </c>
      <c r="B1168" s="2" t="s">
        <v>100</v>
      </c>
    </row>
    <row r="1169" ht="15.75" customHeight="1">
      <c r="A1169" s="2" t="s">
        <v>1201</v>
      </c>
      <c r="B1169" s="2" t="str">
        <f>IFERROR(__xludf.DUMMYFUNCTION("GOOGLETRANSLATE(A1169, ""yo"", ""en"")"),"About two weeks ago, Natasha wrote a letter to the legislator saying that she is ready to return to her job after six months of not going home alone.")</f>
        <v>About two weeks ago, Natasha wrote a letter to the legislator saying that she is ready to return to her job after six months of not going home alone.</v>
      </c>
    </row>
    <row r="1170" ht="15.75" customHeight="1">
      <c r="A1170" s="2" t="s">
        <v>1202</v>
      </c>
      <c r="B1170" s="2" t="s">
        <v>103</v>
      </c>
    </row>
    <row r="1171" ht="15.75" customHeight="1">
      <c r="A1171" s="2" t="s">
        <v>1203</v>
      </c>
      <c r="B1171" s="2" t="s">
        <v>105</v>
      </c>
    </row>
    <row r="1172" ht="15.75" customHeight="1">
      <c r="A1172" s="2" t="s">
        <v>1204</v>
      </c>
      <c r="B1172" s="2" t="str">
        <f>IFERROR(__xludf.DUMMYFUNCTION("GOOGLETRANSLATE(A1172, ""yo"", ""en"")"),"Every time Natasha used to say that because of the sad sexual accusation that she made against the president of the house, Senator Godswill Akpabio, which this house threw out, they are killing her.")</f>
        <v>Every time Natasha used to say that because of the sad sexual accusation that she made against the president of the house, Senator Godswill Akpabio, which this house threw out, they are killing her.</v>
      </c>
    </row>
    <row r="1173" ht="15.75" customHeight="1">
      <c r="A1173" s="2" t="s">
        <v>1205</v>
      </c>
      <c r="B1173" s="2" t="str">
        <f>IFERROR(__xludf.DUMMYFUNCTION("GOOGLETRANSLATE(A1173, ""yo"", ""en"")"),"Well, the parliament has postponed the sitting of the house to the 7th of this coming October, which means that the house will not sit for two weeks.")</f>
        <v>Well, the parliament has postponed the sitting of the house to the 7th of this coming October, which means that the house will not sit for two weeks.</v>
      </c>
    </row>
    <row r="1174" ht="15.75" customHeight="1">
      <c r="A1174" s="2" t="s">
        <v>1206</v>
      </c>
      <c r="B1174" s="2" t="str">
        <f>IFERROR(__xludf.DUMMYFUNCTION("GOOGLETRANSLATE(A1174, ""yo"", ""en"")"),"The home secretary, Kamoru Ogunlana, confirmed this matter in a letter addressed to all households.")</f>
        <v>The home secretary, Kamoru Ogunlana, confirmed this matter in a letter addressed to all households.</v>
      </c>
    </row>
    <row r="1175" ht="15.75" customHeight="1">
      <c r="A1175" s="2" t="s">
        <v>1207</v>
      </c>
      <c r="B1175" s="4" t="s">
        <v>110</v>
      </c>
    </row>
    <row r="1176" ht="15.75" customHeight="1">
      <c r="A1176" s="2" t="s">
        <v>1208</v>
      </c>
      <c r="B1176" s="2" t="str">
        <f>IFERROR(__xludf.DUMMYFUNCTION("GOOGLETRANSLATE(A1176, ""yo"", ""en"")"),"""The Executive Council of the House of Representatives and the Legislative Representative, I want to inform all legislators and the public that the proper sitting of the house did not start on the twenty-third day of Victory this September. It has been p"&amp;"ostponed to the seventh day of the next month of October.")</f>
        <v>"The Executive Council of the House of Representatives and the Legislative Representative, I want to inform all legislators and the public that the proper sitting of the house did not start on the twenty-third day of Victory this September. It has been postponed to the seventh day of the next month of October.</v>
      </c>
    </row>
    <row r="1177" ht="15.75" customHeight="1">
      <c r="A1177" s="2" t="s">
        <v>1209</v>
      </c>
      <c r="B1177" s="2" t="str">
        <f>IFERROR(__xludf.DUMMYFUNCTION("GOOGLETRANSLATE(A1177, ""yo"", ""en"")"),"However, the house councils will continue with their work,'' Mr. Ogunlana said in a letter that he sent to all houses.")</f>
        <v>However, the house councils will continue with their work,'' Mr. Ogunlana said in a letter that he sent to all houses.</v>
      </c>
    </row>
    <row r="1178" ht="15.75" customHeight="1">
      <c r="A1178" s="2" t="s">
        <v>1210</v>
      </c>
      <c r="B1178" s="2" t="str">
        <f>IFERROR(__xludf.DUMMYFUNCTION("GOOGLETRANSLATE(A1178, ""yo"", ""en"")"),"Many residents of Osun state who spoke to journalists accused Governor Adeleke of spending public money illegally.")</f>
        <v>Many residents of Osun state who spoke to journalists accused Governor Adeleke of spending public money illegally.</v>
      </c>
    </row>
    <row r="1179" ht="15.75" customHeight="1">
      <c r="A1179" s="2" t="s">
        <v>1211</v>
      </c>
      <c r="B1179" s="2" t="str">
        <f>IFERROR(__xludf.DUMMYFUNCTION("GOOGLETRANSLATE(A1179, ""yo"", ""en"")"),"Others also say that the governor is dying after his city Ede as well as he signed the money for the repair of the Sango-Timi shrine in the royal palace of his city.")</f>
        <v>Others also say that the governor is dying after his city Ede as well as he signed the money for the repair of the Sango-Timi shrine in the royal palace of his city.</v>
      </c>
    </row>
    <row r="1180" ht="15.75" customHeight="1">
      <c r="A1180" s="2" t="s">
        <v>1212</v>
      </c>
      <c r="B1180" s="2" t="str">
        <f>IFERROR(__xludf.DUMMYFUNCTION("GOOGLETRANSLATE(A1180, ""yo"", ""en"")"),"The children of my Osun state who also spoke on the internet accused the governor of spending a lot of Osun state's money on his city.")</f>
        <v>The children of my Osun state who also spoke on the internet accused the governor of spending a lot of Osun state's money on his city.</v>
      </c>
    </row>
    <row r="1181" ht="15.75" customHeight="1">
      <c r="A1181" s="2" t="s">
        <v>1213</v>
      </c>
      <c r="B1181" s="2" t="str">
        <f>IFERROR(__xludf.DUMMYFUNCTION("GOOGLETRANSLATE(A1181, ""yo"", ""en"")"),"Oyewole Sakariyau asked on his Facebook page that there is a need for sacrifices for the people of Osun state.")</f>
        <v>Oyewole Sakariyau asked on his Facebook page that there is a need for sacrifices for the people of Osun state.</v>
      </c>
    </row>
    <row r="1182" ht="15.75" customHeight="1">
      <c r="A1182" s="2" t="s">
        <v>1214</v>
      </c>
      <c r="B1182" s="2" t="str">
        <f>IFERROR(__xludf.DUMMYFUNCTION("GOOGLETRANSLATE(A1182, ""yo"", ""en"")"),"Omotoba Adaramaja was the one who expressed his displeasure at the move, saying that the worst thing is that the issue of public service is more important to the governor than the welfare of the people.")</f>
        <v>Omotoba Adaramaja was the one who expressed his displeasure at the move, saying that the worst thing is that the issue of public service is more important to the governor than the welfare of the people.</v>
      </c>
    </row>
    <row r="1183" ht="15.75" customHeight="1">
      <c r="A1183" s="2" t="s">
        <v>1215</v>
      </c>
      <c r="B1183" s="2" t="str">
        <f>IFERROR(__xludf.DUMMYFUNCTION("GOOGLETRANSLATE(A1183, ""yo"", ""en"")"),"Adaramaja said, ""What is the importance of repairing the shrine where the people of Osun state are starving, but people are looking at everything the government is doing."" Well, Bash Adams, who is a native of Ede town where the shrine is located, has sa"&amp;"id that it is surprising that the governor of Osun state is investing in the restoration of the shrine, when many important things are not yet done.")</f>
        <v>Adaramaja said, "What is the importance of repairing the shrine where the people of Osun state are starving, but people are looking at everything the government is doing." Well, Bash Adams, who is a native of Ede town where the shrine is located, has said that it is surprising that the governor of Osun state is investing in the restoration of the shrine, when many important things are not yet done.</v>
      </c>
    </row>
    <row r="1184" ht="15.75" customHeight="1">
      <c r="A1184" s="2" t="s">
        <v>1216</v>
      </c>
      <c r="B1184" s="2" t="str">
        <f>IFERROR(__xludf.DUMMYFUNCTION("GOOGLETRANSLATE(A1184, ""yo"", ""en"")"),"""I am a son of Ede, but I will sign this step because there are many things that the government can spend more on than the church,"" Adams said.")</f>
        <v>"I am a son of Ede, but I will sign this step because there are many things that the government can spend more on than the church," Adams said.</v>
      </c>
    </row>
    <row r="1185" ht="15.75" customHeight="1">
      <c r="A1185" s="2" t="s">
        <v>1217</v>
      </c>
      <c r="B1185" s="2" t="str">
        <f>IFERROR(__xludf.DUMMYFUNCTION("GOOGLETRANSLATE(A1185, ""yo"", ""en"")"),"The BBC Yoruba investigation revealed that it is true that the Osun state government is the contractor for the Sango-Timi road repair project without Timi Agbale from Ede.")</f>
        <v>The BBC Yoruba investigation revealed that it is true that the Osun state government is the contractor for the Sango-Timi road repair project without Timi Agbale from Ede.</v>
      </c>
    </row>
    <row r="1186" ht="15.75" customHeight="1">
      <c r="A1186" s="2" t="s">
        <v>1218</v>
      </c>
      <c r="B1186" s="2" t="str">
        <f>IFERROR(__xludf.DUMMYFUNCTION("GOOGLETRANSLATE(A1186, ""yo"", ""en"")"),"According to the information available on the website of Osun e-GP, which shows how the government is carrying out public works projects, Governor Adeleke's government has given the construction of the Sango-Timi road to a real contractor.")</f>
        <v>According to the information available on the website of Osun e-GP, which shows how the government is carrying out public works projects, Governor Adeleke's government has given the construction of the Sango-Timi road to a real contractor.</v>
      </c>
    </row>
    <row r="1187" ht="15.75" customHeight="1">
      <c r="A1187" s="2" t="s">
        <v>1219</v>
      </c>
      <c r="B1187" s="2" t="str">
        <f>IFERROR(__xludf.DUMMYFUNCTION("GOOGLETRANSLATE(A1187, ""yo"", ""en"")"),"On the 10th of March 2025, the government has placed the work for the concrete to be done.")</f>
        <v>On the 10th of March 2025, the government has placed the work for the concrete to be done.</v>
      </c>
    </row>
    <row r="1188" ht="15.75" customHeight="1">
      <c r="A1188" s="2" t="s">
        <v>1220</v>
      </c>
      <c r="B1188" s="2" t="str">
        <f>IFERROR(__xludf.DUMMYFUNCTION("GOOGLETRANSLATE(A1188, ""yo"", ""en"")"),"The government agency that deals with culture and tourism is promoting the project before the government gives it to the contractor.")</f>
        <v>The government agency that deals with culture and tourism is promoting the project before the government gives it to the contractor.</v>
      </c>
    </row>
    <row r="1189" ht="15.75" customHeight="1">
      <c r="A1189" s="2" t="s">
        <v>1221</v>
      </c>
      <c r="B1189" s="2" t="str">
        <f>IFERROR(__xludf.DUMMYFUNCTION("GOOGLETRANSLATE(A1189, ""yo"", ""en"")"),"In fact, the name of the company that took the job to do it is Atomhans.")</f>
        <v>In fact, the name of the company that took the job to do it is Atomhans.</v>
      </c>
    </row>
    <row r="1190" ht="15.75" customHeight="1">
      <c r="A1190" s="2" t="s">
        <v>1222</v>
      </c>
      <c r="B1190" s="2" t="str">
        <f>IFERROR(__xludf.DUMMYFUNCTION("GOOGLETRANSLATE(A1190, ""yo"", ""en"")"),"There is also information on the channel of Osun e-GP that the government has signed N678,843,462 for the project.")</f>
        <v>There is also information on the channel of Osun e-GP that the government has signed N678,843,462 for the project.</v>
      </c>
    </row>
    <row r="1191" ht="15.75" customHeight="1">
      <c r="A1191" s="2" t="s">
        <v>1223</v>
      </c>
      <c r="B1191" s="2" t="str">
        <f>IFERROR(__xludf.DUMMYFUNCTION("GOOGLETRANSLATE(A1191, ""yo"", ""en"")"),"BBC News Yoruba news on your WhatsApp Join us where End of podcast promotion The Osun state government has said that the reason Governor Ademola Adeleke signed N678m for the repair of Sango-Timi road is that the government is repairing all the cultural an"&amp;"d religious places in order to attract tourists.")</f>
        <v>BBC News Yoruba news on your WhatsApp Join us where End of podcast promotion The Osun state government has said that the reason Governor Ademola Adeleke signed N678m for the repair of Sango-Timi road is that the government is repairing all the cultural and religious places in order to attract tourists.</v>
      </c>
    </row>
    <row r="1192" ht="15.75" customHeight="1">
      <c r="A1192" s="2" t="s">
        <v>1224</v>
      </c>
      <c r="B1192" s="2" t="str">
        <f>IFERROR(__xludf.DUMMYFUNCTION("GOOGLETRANSLATE(A1192, ""yo"", ""en"")"),"The spokesperson of Osun state governor, Rasheed Olawale, confirmed this to BBC Yoruba.")</f>
        <v>The spokesperson of Osun state governor, Rasheed Olawale, confirmed this to BBC Yoruba.</v>
      </c>
    </row>
    <row r="1193" ht="15.75" customHeight="1">
      <c r="A1193" s="2" t="s">
        <v>1225</v>
      </c>
      <c r="B1193" s="2" t="str">
        <f>IFERROR(__xludf.DUMMYFUNCTION("GOOGLETRANSLATE(A1193, ""yo"", ""en"")"),"Mr. Olawale explained that ""in 2023, the government started this renovation project with the Osun Osogbo shrine.")</f>
        <v>Mr. Olawale explained that "in 2023, the government started this renovation project with the Osun Osogbo shrine.</v>
      </c>
    </row>
    <row r="1194" ht="15.75" customHeight="1">
      <c r="A1194" s="2" t="s">
        <v>1226</v>
      </c>
      <c r="B1194" s="2" t="str">
        <f>IFERROR(__xludf.DUMMYFUNCTION("GOOGLETRANSLATE(A1194, ""yo"", ""en"")"),"Work is going on on the road that goes to the Osun Osogbo shrine, and the government is also denying the repairs on the Osun Osogbo water, leaving many other things that need to be repaired on the site.")</f>
        <v>Work is going on on the road that goes to the Osun Osogbo shrine, and the government is also denying the repairs on the Osun Osogbo water, leaving many other things that need to be repaired on the site.</v>
      </c>
    </row>
    <row r="1195" ht="15.75" customHeight="1">
      <c r="A1195" s="2" t="s">
        <v>1227</v>
      </c>
      <c r="B1195" s="2" t="str">
        <f>IFERROR(__xludf.DUMMYFUNCTION("GOOGLETRANSLATE(A1195, ""yo"", ""en"")"),"It has all the plans that the government should do before the project is carried out, and the restoration of the temple is included in the Osun state budget for the year 2025.")</f>
        <v>It has all the plans that the government should do before the project is carried out, and the restoration of the temple is included in the Osun state budget for the year 2025.</v>
      </c>
    </row>
    <row r="1196" ht="15.75" customHeight="1">
      <c r="A1196" s="2" t="s">
        <v>1228</v>
      </c>
      <c r="B1196" s="2" t="str">
        <f>IFERROR(__xludf.DUMMYFUNCTION("GOOGLETRANSLATE(A1196, ""yo"", ""en"")"),"Olawale added that many of the tasks included in the Osun state budget for 2025 have not been completed by the government due to the lack of coordination among the local governments in Osun.")</f>
        <v>Olawale added that many of the tasks included in the Osun state budget for 2025 have not been completed by the government due to the lack of coordination among the local governments in Osun.</v>
      </c>
    </row>
    <row r="1197" ht="15.75" customHeight="1">
      <c r="A1197" s="2" t="s">
        <v>1229</v>
      </c>
      <c r="B1197" s="2" t="str">
        <f>IFERROR(__xludf.DUMMYFUNCTION("GOOGLETRANSLATE(A1197, ""yo"", ""en"")"),"He said the work of repairing the Sango-Timi temple has not yet started because the government has not found the money to do it.")</f>
        <v>He said the work of repairing the Sango-Timi temple has not yet started because the government has not found the money to do it.</v>
      </c>
    </row>
    <row r="1198" ht="15.75" customHeight="1">
      <c r="A1198" s="2" t="s">
        <v>1230</v>
      </c>
      <c r="B1198" s="2" t="str">
        <f>IFERROR(__xludf.DUMMYFUNCTION("GOOGLETRANSLATE(A1198, ""yo"", ""en"")"),"Earlier, Obasanjo had first said that the news was a lie at a program hosted by the former President, Goodluck Jonathan.")</f>
        <v>Earlier, Obasanjo had first said that the news was a lie at a program hosted by the former President, Goodluck Jonathan.</v>
      </c>
    </row>
    <row r="1199" ht="15.75" customHeight="1">
      <c r="A1199" s="2" t="s">
        <v>1231</v>
      </c>
      <c r="B1199" s="2" t="str">
        <f>IFERROR(__xludf.DUMMYFUNCTION("GOOGLETRANSLATE(A1199, ""yo"", ""en"")"),"Obasanjo said at the meeting that he is not interested in a third term, otherwise he will be the winner if he tries.")</f>
        <v>Obasanjo said at the meeting that he is not interested in a third term, otherwise he will be the winner if he tries.</v>
      </c>
    </row>
    <row r="1200" ht="15.75" customHeight="1">
      <c r="A1200" s="2" t="s">
        <v>1232</v>
      </c>
      <c r="B1200" s="2" t="str">
        <f>IFERROR(__xludf.DUMMYFUNCTION("GOOGLETRANSLATE(A1200, ""yo"", ""en"")"),"He said ""I am not stupid, if I want to win the third race, I know how to do it and win.")</f>
        <v>He said "I am not stupid, if I want to win the third race, I know how to do it and win.</v>
      </c>
    </row>
    <row r="1201" ht="15.75" customHeight="1">
      <c r="A1201" s="2" t="s">
        <v>1233</v>
      </c>
      <c r="B1201" s="2" t="str">
        <f>IFERROR(__xludf.DUMMYFUNCTION("GOOGLETRANSLATE(A1201, ""yo"", ""en"")"),"""There is no Nigerian, whether he is dead or alive, who will say that I am with him that I want to do the third time.")</f>
        <v>"There is no Nigerian, whether he is dead or alive, who will say that I am with him that I want to do the third time.</v>
      </c>
    </row>
    <row r="1202" ht="15.75" customHeight="1">
      <c r="A1202" s="2" t="s">
        <v>1234</v>
      </c>
      <c r="B1202" s="2" t="str">
        <f>IFERROR(__xludf.DUMMYFUNCTION("GOOGLETRANSLATE(A1202, ""yo"", ""en"")"),"As he said, many of his colleagues in the legislature that year knew all the wisdom of Baba Iyabo to not resign at the right time.")</f>
        <v>As he said, many of his colleagues in the legislature that year knew all the wisdom of Baba Iyabo to not resign at the right time.</v>
      </c>
    </row>
    <row r="1203" ht="15.75" customHeight="1">
      <c r="A1203" s="2" t="s">
        <v>1235</v>
      </c>
      <c r="B1203" s="2" t="str">
        <f>IFERROR(__xludf.DUMMYFUNCTION("GOOGLETRANSLATE(A1203, ""yo"", ""en"")"),"BBC News Yoruba news on your WhatsApp Join us at End of podcast promotion He said ""I can confirm to you that Obansanjo tried to make a third attempt.")</f>
        <v>BBC News Yoruba news on your WhatsApp Join us at End of podcast promotion He said "I can confirm to you that Obansanjo tried to make a third attempt.</v>
      </c>
    </row>
    <row r="1204" ht="15.75" customHeight="1">
      <c r="A1204" s="2" t="s">
        <v>1236</v>
      </c>
      <c r="B1204" s="2" t="str">
        <f>IFERROR(__xludf.DUMMYFUNCTION("GOOGLETRANSLATE(A1204, ""yo"", ""en"")"),"""He tried, so he did his best to see the third time and he fell down in his efforts.")</f>
        <v>"He tried, so he did his best to see the third time and he fell down in his efforts.</v>
      </c>
    </row>
    <row r="1205" ht="15.75" customHeight="1">
      <c r="A1205" s="2" t="s">
        <v>1237</v>
      </c>
      <c r="B1205" s="2" t="str">
        <f>IFERROR(__xludf.DUMMYFUNCTION("GOOGLETRANSLATE(A1205, ""yo"", ""en"")"),"""Just because he didn't call anyone on the watch that he wanted the third saa is not enough evidence to prove that he didn't try it.")</f>
        <v>"Just because he didn't call anyone on the watch that he wanted the third saa is not enough evidence to prove that he didn't try it.</v>
      </c>
    </row>
    <row r="1206" ht="15.75" customHeight="1">
      <c r="A1206" s="2" t="s">
        <v>1238</v>
      </c>
      <c r="B1206" s="2" t="str">
        <f>IFERROR(__xludf.DUMMYFUNCTION("GOOGLETRANSLATE(A1206, ""yo"", ""en"")"),"""What wisdom does he use, but all of us in the legislature are well aware that he works day and night, even, many of us are his followers."" Bugaje explained that one of the most important people that year was the senator representing the Northern region"&amp;" at that time, Victor Lar.")</f>
        <v>"What wisdom does he use, but all of us in the legislature are well aware that he works day and night, even, many of us are his followers." Bugaje explained that one of the most important people that year was the senator representing the Northern region at that time, Victor Lar.</v>
      </c>
    </row>
    <row r="1207" ht="15.75" customHeight="1">
      <c r="A1207" s="2" t="s">
        <v>1239</v>
      </c>
      <c r="B1207" s="2" t="str">
        <f>IFERROR(__xludf.DUMMYFUNCTION("GOOGLETRANSLATE(A1207, ""yo"", ""en"")"),"He said the matter was so severe that Lar covered the field for several days.")</f>
        <v>He said the matter was so severe that Lar covered the field for several days.</v>
      </c>
    </row>
    <row r="1208" ht="15.75" customHeight="1">
      <c r="A1208" s="2" t="s">
        <v>1240</v>
      </c>
      <c r="B1208" s="2" t="str">
        <f>IFERROR(__xludf.DUMMYFUNCTION("GOOGLETRANSLATE(A1208, ""yo"", ""en"")"),"He explained that those who knew the rules of giving money to the kiris then are still alive today, and those who took money then have not died, so his witness is not in the next heaven.")</f>
        <v>He explained that those who knew the rules of giving money to the kiris then are still alive today, and those who took money then have not died, so his witness is not in the next heaven.</v>
      </c>
    </row>
    <row r="1209" ht="15.75" customHeight="1">
      <c r="A1209" s="2" t="s">
        <v>1241</v>
      </c>
      <c r="B1209" s="2" t="str">
        <f>IFERROR(__xludf.DUMMYFUNCTION("GOOGLETRANSLATE(A1209, ""yo"", ""en"")"),"If you don't forget, in 2006 there was a debate on the amendment to the 1999 law before the legislators killed it.")</f>
        <v>If you don't forget, in 2006 there was a debate on the amendment to the 1999 law before the legislators killed it.</v>
      </c>
    </row>
    <row r="1210" ht="15.75" customHeight="1">
      <c r="A1210" s="2" t="s">
        <v>1242</v>
      </c>
      <c r="B1210" s="2" t="str">
        <f>IFERROR(__xludf.DUMMYFUNCTION("GOOGLETRANSLATE(A1210, ""yo"", ""en"")"),"If the legislators give their hand to the restructuring this year, the Presidents in Nigeria will be able to spend three days on this level.")</f>
        <v>If the legislators give their hand to the restructuring this year, the Presidents in Nigeria will be able to spend three days on this level.</v>
      </c>
    </row>
    <row r="1211" ht="15.75" customHeight="1">
      <c r="A1211" s="2" t="s">
        <v>1243</v>
      </c>
      <c r="B1211" s="2" t="str">
        <f>IFERROR(__xludf.DUMMYFUNCTION("GOOGLETRANSLATE(A1211, ""yo"", ""en"")"),"Obasanjo confirmed this during a discussion on the government of the former Nigerian President, Goodluck Jonathan, in Accra, which is the capital of Ghana.")</f>
        <v>Obasanjo confirmed this during a discussion on the government of the former Nigerian President, Goodluck Jonathan, in Accra, which is the capital of Ghana.</v>
      </c>
    </row>
    <row r="1212" ht="15.75" customHeight="1">
      <c r="A1212" s="2" t="s">
        <v>1244</v>
      </c>
      <c r="B1212" s="2" t="str">
        <f>IFERROR(__xludf.DUMMYFUNCTION("GOOGLETRANSLATE(A1212, ""yo"", ""en"")"),"Obasanjo said that no one has any evidence to prove that he really tried to impeach the Nigerian president for the third time after he turned two.")</f>
        <v>Obasanjo said that no one has any evidence to prove that he really tried to impeach the Nigerian president for the third time after he turned two.</v>
      </c>
    </row>
    <row r="1213" ht="15.75" customHeight="1">
      <c r="A1213" s="2" t="s">
        <v>1245</v>
      </c>
      <c r="B1213" s="2" t="str">
        <f>IFERROR(__xludf.DUMMYFUNCTION("GOOGLETRANSLATE(A1213, ""yo"", ""en"")"),"""It's not that my head is perfect.")</f>
        <v>"It's not that my head is perfect.</v>
      </c>
    </row>
    <row r="1214" ht="15.75" customHeight="1">
      <c r="A1214" s="2" t="s">
        <v>1246</v>
      </c>
      <c r="B1214" s="2" t="str">
        <f>IFERROR(__xludf.DUMMYFUNCTION("GOOGLETRANSLATE(A1214, ""yo"", ""en"")"),"I know what I can do if I want to be president for the third time.")</f>
        <v>I know what I can do if I want to be president for the third time.</v>
      </c>
    </row>
    <row r="1215" ht="15.75" customHeight="1">
      <c r="A1215" s="2" t="s">
        <v>1247</v>
      </c>
      <c r="B1215" s="2" t="str">
        <f>IFERROR(__xludf.DUMMYFUNCTION("GOOGLETRANSLATE(A1215, ""yo"", ""en"")"),"""There is no Nigerian, dead or alive, who can say that I called him and said that I want to be president for the third time,"" Obasanjo said.")</f>
        <v>"There is no Nigerian, dead or alive, who can say that I called him and said that I want to be president for the third time," Obasanjo said.</v>
      </c>
    </row>
    <row r="1216" ht="15.75" customHeight="1">
      <c r="A1216" s="2" t="s">
        <v>1248</v>
      </c>
      <c r="B1216" s="2" t="str">
        <f>IFERROR(__xludf.DUMMYFUNCTION("GOOGLETRANSLATE(A1216, ""yo"", ""en"")"),"The president added that it is more difficult to talk to the people of Nigeria to cancel the debt of Nigeria than to try to win the presidency for the third time.")</f>
        <v>The president added that it is more difficult to talk to the people of Nigeria to cancel the debt of Nigeria than to try to win the presidency for the third time.</v>
      </c>
    </row>
    <row r="1217" ht="15.75" customHeight="1">
      <c r="A1217" s="2" t="s">
        <v>1249</v>
      </c>
      <c r="B1217" s="2" t="str">
        <f>IFERROR(__xludf.DUMMYFUNCTION("GOOGLETRANSLATE(A1217, ""yo"", ""en"")"),"Obasanjo said, ""I always tell you that if I want to be president for the third time, I will not do it, because it is easier for me to go for the third term than to accept forgiveness for the debt that Nigeria owes."" The former president of Nigeria has w"&amp;"arned the leaders of the country who do not want to resign to stop doing nothing.")</f>
        <v>Obasanjo said, "I always tell you that if I want to be president for the third time, I will not do it, because it is easier for me to go for the third term than to accept forgiveness for the debt that Nigeria owes." The former president of Nigeria has warned the leaders of the country who do not want to resign to stop doing nothing.</v>
      </c>
    </row>
    <row r="1218" ht="15.75" customHeight="1">
      <c r="A1218" s="2" t="s">
        <v>1250</v>
      </c>
      <c r="B1218" s="2" t="str">
        <f>IFERROR(__xludf.DUMMYFUNCTION("GOOGLETRANSLATE(A1218, ""yo"", ""en"")"),"Obasanjo said that when a person is paralyzed, a person becomes stronger in order to work well.")</f>
        <v>Obasanjo said that when a person is paralyzed, a person becomes stronger in order to work well.</v>
      </c>
    </row>
    <row r="1219" ht="15.75" customHeight="1">
      <c r="A1219" s="2" t="s">
        <v>1251</v>
      </c>
      <c r="B1219" s="2" t="str">
        <f>IFERROR(__xludf.DUMMYFUNCTION("GOOGLETRANSLATE(A1219, ""yo"", ""en"")"),"""If the body has become weak, a person will be able to do many things well.")</f>
        <v>"If the body has become weak, a person will be able to do many things well.</v>
      </c>
    </row>
    <row r="1220" ht="15.75" customHeight="1">
      <c r="A1220" s="2" t="s">
        <v>1252</v>
      </c>
      <c r="B1220" s="2" t="str">
        <f>IFERROR(__xludf.DUMMYFUNCTION("GOOGLETRANSLATE(A1220, ""yo"", ""en"")"),"However, I know that some people think that if they are not there, no one else can do it.")</f>
        <v>However, I know that some people think that if they are not there, no one else can do it.</v>
      </c>
    </row>
    <row r="1221" ht="15.75" customHeight="1">
      <c r="A1221" s="2" t="s">
        <v>1253</v>
      </c>
      <c r="B1221" s="2" t="str">
        <f>IFERROR(__xludf.DUMMYFUNCTION("GOOGLETRANSLATE(A1221, ""yo"", ""en"")"),"They also say that they have seen someone else, I believe that this is a sin against God.")</f>
        <v>They also say that they have seen someone else, I believe that this is a sin against God.</v>
      </c>
    </row>
    <row r="1222" ht="15.75" customHeight="1">
      <c r="A1222" s="2" t="s">
        <v>1254</v>
      </c>
      <c r="B1222" s="2" t="str">
        <f>IFERROR(__xludf.DUMMYFUNCTION("GOOGLETRANSLATE(A1222, ""yo"", ""en"")"),"The reason is that God can take your life whenever someone else comes in your place.")</f>
        <v>The reason is that God can take your life whenever someone else comes in your place.</v>
      </c>
    </row>
    <row r="1223" ht="15.75" customHeight="1">
      <c r="A1223" s="2" t="s">
        <v>1255</v>
      </c>
      <c r="B1223" s="2" t="str">
        <f>IFERROR(__xludf.DUMMYFUNCTION("GOOGLETRANSLATE(A1223, ""yo"", ""en"")"),"The person who comes to your position may do better than you, and may not do as well as you,"" Obasanjo explained.")</f>
        <v>The person who comes to your position may do better than you, and may not do as well as you," Obasanjo explained.</v>
      </c>
    </row>
    <row r="1224" ht="15.75" customHeight="1">
      <c r="A1224" s="2" t="s">
        <v>1256</v>
      </c>
      <c r="B1224" s="2" t="str">
        <f>IFERROR(__xludf.DUMMYFUNCTION("GOOGLETRANSLATE(A1224, ""yo"", ""en"")"),"Now, Ataoja Osogbo and Oluwoo of Iwo town, Osun state are again starting their own feud.")</f>
        <v>Now, Ataoja Osogbo and Oluwoo of Iwo town, Osun state are again starting their own feud.</v>
      </c>
    </row>
    <row r="1225" ht="15.75" customHeight="1">
      <c r="A1225" s="2" t="s">
        <v>1257</v>
      </c>
      <c r="B1225" s="2" t="str">
        <f>IFERROR(__xludf.DUMMYFUNCTION("GOOGLETRANSLATE(A1225, ""yo"", ""en"")"),"The King of Osogbo known as Ataoja, His Majesty Oba Jimoh Oyetunji and the Oluwoo of Iwo, King Abdulrosheed Akanbi, are arguing with each other who deserves the fourth position among the kings of Osun state.")</f>
        <v>The King of Osogbo known as Ataoja, His Majesty Oba Jimoh Oyetunji and the Oluwoo of Iwo, King Abdulrosheed Akanbi, are arguing with each other who deserves the fourth position among the kings of Osun state.</v>
      </c>
    </row>
    <row r="1226" ht="15.75" customHeight="1">
      <c r="A1226" s="2" t="s">
        <v>1258</v>
      </c>
      <c r="B1226" s="2" t="str">
        <f>IFERROR(__xludf.DUMMYFUNCTION("GOOGLETRANSLATE(A1226, ""yo"", ""en"")"),"Even though the old war started recently, it has now spread across the internet, as those of Oluwoo are saying that you are the leader, so the supporters of the Ataoja are saying that the Ataoja is in the fourth place among the big kings in Osun state.")</f>
        <v>Even though the old war started recently, it has now spread across the internet, as those of Oluwoo are saying that you are the leader, so the supporters of the Ataoja are saying that the Ataoja is in the fourth place among the big kings in Osun state.</v>
      </c>
    </row>
    <row r="1227" ht="15.75" customHeight="1">
      <c r="A1227" s="2" t="s">
        <v>1259</v>
      </c>
      <c r="B1227" s="2" t="str">
        <f>IFERROR(__xludf.DUMMYFUNCTION("GOOGLETRANSLATE(A1227, ""yo"", ""en"")"),"The argument of Ataoja people is that Osogbo is the capital of Osun state, and this alone is enough to show the greatness of the king of the city, and it does not stand in fourth place.")</f>
        <v>The argument of Ataoja people is that Osogbo is the capital of Osun state, and this alone is enough to show the greatness of the king of the city, and it does not stand in fourth place.</v>
      </c>
    </row>
    <row r="1228" ht="15.75" customHeight="1">
      <c r="A1228" s="2" t="s">
        <v>1260</v>
      </c>
      <c r="B1228" s="2" t="str">
        <f>IFERROR(__xludf.DUMMYFUNCTION("GOOGLETRANSLATE(A1228, ""yo"", ""en"")"),"The people of Oluwoo are saying that Iwo has come from the past, they say that Oduduwa himself used to release Oluwoo, it is different from Ataoja who not long ago started to release him.")</f>
        <v>The people of Oluwoo are saying that Iwo has come from the past, they say that Oduduwa himself used to release Oluwoo, it is different from Ataoja who not long ago started to release him.</v>
      </c>
    </row>
    <row r="1229" ht="15.75" customHeight="1">
      <c r="A1229" s="2" t="s">
        <v>1261</v>
      </c>
      <c r="B1229" s="2" t="str">
        <f>IFERROR(__xludf.DUMMYFUNCTION("GOOGLETRANSLATE(A1229, ""yo"", ""en"")"),"Osogbo's merchant, King Jimoh Oyetunji who was celebrating his fifteenth year on the throne recently.")</f>
        <v>Osogbo's merchant, King Jimoh Oyetunji who was celebrating his fifteenth year on the throne recently.</v>
      </c>
    </row>
    <row r="1230" ht="15.75" customHeight="1">
      <c r="A1230" s="2" t="s">
        <v>1262</v>
      </c>
      <c r="B1230" s="2" t="str">
        <f>IFERROR(__xludf.DUMMYFUNCTION("GOOGLETRANSLATE(A1230, ""yo"", ""en"")"),"Osun state university in Ataoja has said that from our land, Ataoja is the fourth among the kings of Osun state.")</f>
        <v>Osun state university in Ataoja has said that from our land, Ataoja is the fourth among the kings of Osun state.</v>
      </c>
    </row>
    <row r="1231" ht="15.75" customHeight="1">
      <c r="A1231" s="2" t="s">
        <v>1263</v>
      </c>
      <c r="B1231" s="2" t="str">
        <f>IFERROR(__xludf.DUMMYFUNCTION("GOOGLETRANSLATE(A1231, ""yo"", ""en"")"),"He said that when Ataoja yesterday, King Iyiola Matanmi III, was on the throne, he was given to Oluwoo of Iwo land illegally.")</f>
        <v>He said that when Ataoja yesterday, King Iyiola Matanmi III, was on the throne, he was given to Oluwoo of Iwo land illegally.</v>
      </c>
    </row>
    <row r="1232" ht="15.75" customHeight="1">
      <c r="A1232" s="2" t="s">
        <v>1264</v>
      </c>
      <c r="B1232" s="2" t="str">
        <f>IFERROR(__xludf.DUMMYFUNCTION("GOOGLETRANSLATE(A1232, ""yo"", ""en"")"),"The king of Osogbo said that he did not fight with any king, but that he was establishing the truth about the fourth position of the king of Osun and how he is in history.")</f>
        <v>The king of Osogbo said that he did not fight with any king, but that he was establishing the truth about the fourth position of the king of Osun and how he is in history.</v>
      </c>
    </row>
    <row r="1233" ht="15.75" customHeight="1">
      <c r="A1233" s="2" t="s">
        <v>1265</v>
      </c>
      <c r="B1233" s="2" t="str">
        <f>IFERROR(__xludf.DUMMYFUNCTION("GOOGLETRANSLATE(A1233, ""yo"", ""en"")"),"""During the time when the Ataoja of Osogbo, Oba Iyiola Oyewale, went on a trip to the sea, and he did not return, he was transferred to Oluwoo of Iwo land.")</f>
        <v>"During the time when the Ataoja of Osogbo, Oba Iyiola Oyewale, went on a trip to the sea, and he did not return, he was transferred to Oluwoo of Iwo land.</v>
      </c>
    </row>
    <row r="1234" ht="15.75" customHeight="1">
      <c r="A1234" s="2" t="s">
        <v>1266</v>
      </c>
      <c r="B1234" s="2" t="str">
        <f>IFERROR(__xludf.DUMMYFUNCTION("GOOGLETRANSLATE(A1234, ""yo"", ""en"")"),"That is how Oluwoo became the fourth king among the kings of Osun state.")</f>
        <v>That is how Oluwoo became the fourth king among the kings of Osun state.</v>
      </c>
    </row>
    <row r="1235" ht="15.75" customHeight="1">
      <c r="A1235" s="2" t="s">
        <v>1267</v>
      </c>
      <c r="B1235" s="2" t="str">
        <f>IFERROR(__xludf.DUMMYFUNCTION("GOOGLETRANSLATE(A1235, ""yo"", ""en"")"),"""When I spoke about you once, people misheard me, they twisted my words, it was because of you that I kept quiet and said something, but I was working on it internally.")</f>
        <v>"When I spoke about you once, people misheard me, they twisted my words, it was because of you that I kept quiet and said something, but I was working on it internally.</v>
      </c>
    </row>
    <row r="1236" ht="15.75" customHeight="1">
      <c r="A1236" s="2" t="s">
        <v>1268</v>
      </c>
      <c r="B1236" s="2" t="str">
        <f>IFERROR(__xludf.DUMMYFUNCTION("GOOGLETRANSLATE(A1236, ""yo"", ""en"")"),"I won't fight any king, but Ataoja is the fourth in Osun state"" said Ataoja Osogbo.")</f>
        <v>I won't fight any king, but Ataoja is the fourth in Osun state" said Ataoja Osogbo.</v>
      </c>
    </row>
    <row r="1237" ht="15.75" customHeight="1">
      <c r="A1237" s="2" t="s">
        <v>1269</v>
      </c>
      <c r="B1237" s="2" t="str">
        <f>IFERROR(__xludf.DUMMYFUNCTION("GOOGLETRANSLATE(A1237, ""yo"", ""en"")"),"He added that his grandfathers were holding the fourth position.")</f>
        <v>He added that his grandfathers were holding the fourth position.</v>
      </c>
    </row>
    <row r="1238" ht="15.75" customHeight="1">
      <c r="A1238" s="2" t="s">
        <v>1270</v>
      </c>
      <c r="B1238" s="2" t="str">
        <f>IFERROR(__xludf.DUMMYFUNCTION("GOOGLETRANSLATE(A1238, ""yo"", ""en"")"),"BBC News Yoruba news on your WhatsApp Join us here End of podcast promotion When Oba Abdulrosheed Akanbi; Oluwoo land Iwo, reacting to this issue from his press secretary, Alli Ibraheem, contradicted Ataoja Osogbo's statement.")</f>
        <v>BBC News Yoruba news on your WhatsApp Join us here End of podcast promotion When Oba Abdulrosheed Akanbi; Oluwoo land Iwo, reacting to this issue from his press secretary, Alli Ibraheem, contradicted Ataoja Osogbo's statement.</v>
      </c>
    </row>
    <row r="1239" ht="15.75" customHeight="1">
      <c r="A1239" s="2" t="s">
        <v>1271</v>
      </c>
      <c r="B1239" s="2" t="str">
        <f>IFERROR(__xludf.DUMMYFUNCTION("GOOGLETRANSLATE(A1239, ""yo"", ""en"")"),"The publication stated that Ataoja wanted to change history with what he said.")</f>
        <v>The publication stated that Ataoja wanted to change history with what he said.</v>
      </c>
    </row>
    <row r="1240" ht="15.75" customHeight="1">
      <c r="A1240" s="2" t="s">
        <v>1272</v>
      </c>
      <c r="B1240" s="2" t="str">
        <f>IFERROR(__xludf.DUMMYFUNCTION("GOOGLETRANSLATE(A1240, ""yo"", ""en"")"),"In the response, Oluwoo urged Ataoja to write about the true story from the elders of Osogbo.")</f>
        <v>In the response, Oluwoo urged Ataoja to write about the true story from the elders of Osogbo.</v>
      </c>
    </row>
    <row r="1241" ht="15.75" customHeight="1">
      <c r="A1241" s="2" t="s">
        <v>1273</v>
      </c>
      <c r="B1241" s="2" t="str">
        <f>IFERROR(__xludf.DUMMYFUNCTION("GOOGLETRANSLATE(A1241, ""yo"", ""en"")"),"Oluwoo said that Ataoja should not confuse matters regarding the throne of the Yoruba patriarchs.")</f>
        <v>Oluwoo said that Ataoja should not confuse matters regarding the throne of the Yoruba patriarchs.</v>
      </c>
    </row>
    <row r="1242" ht="15.75" customHeight="1">
      <c r="A1242" s="2" t="s">
        <v>1274</v>
      </c>
      <c r="B1242" s="2" t="str">
        <f>IFERROR(__xludf.DUMMYFUNCTION("GOOGLETRANSLATE(A1242, ""yo"", ""en"")"),"""The good people of Iwo have heard about a video that is going on the internet, which was made by Ataoja Osogbo, in which he is disputing the situation.")</f>
        <v>"The good people of Iwo have heard about a video that is going on the internet, which was made by Ataoja Osogbo, in which he is disputing the situation.</v>
      </c>
    </row>
    <row r="1243" ht="15.75" customHeight="1">
      <c r="A1243" s="2" t="s">
        <v>1275</v>
      </c>
      <c r="B1243" s="2" t="str">
        <f>IFERROR(__xludf.DUMMYFUNCTION("GOOGLETRANSLATE(A1243, ""yo"", ""en"")"),"""I, like someone else, watched the video with some disappointment, but I'm not convinced.")</f>
        <v>"I, like someone else, watched the video with some disappointment, but I'm not convinced.</v>
      </c>
    </row>
    <row r="1244" ht="15.75" customHeight="1">
      <c r="A1244" s="2" t="s">
        <v>1276</v>
      </c>
      <c r="B1244" s="2" t="str">
        <f>IFERROR(__xludf.DUMMYFUNCTION("GOOGLETRANSLATE(A1244, ""yo"", ""en"")"),"""I need to explain this to protect Oluwoo's throne and what can change Yoruba history.")</f>
        <v>"I need to explain this to protect Oluwoo's throne and what can change Yoruba history.</v>
      </c>
    </row>
    <row r="1245" ht="15.75" customHeight="1">
      <c r="A1245" s="2" t="s">
        <v>1277</v>
      </c>
      <c r="B1245" s="2" t="str">
        <f>IFERROR(__xludf.DUMMYFUNCTION("GOOGLETRANSLATE(A1245, ""yo"", ""en"")"),"""As we know, Baaleh was Ataoja until 1948 when he started dating.")</f>
        <v>"As we know, Baaleh was Ataoja until 1948 when he started dating.</v>
      </c>
    </row>
    <row r="1246" ht="15.75" customHeight="1">
      <c r="A1246" s="2" t="s">
        <v>1278</v>
      </c>
      <c r="B1246" s="2" t="str">
        <f>IFERROR(__xludf.DUMMYFUNCTION("GOOGLETRANSLATE(A1246, ""yo"", ""en"")"),"""Ade Atoaja has not been crowned for a long time, he and others were during the military government of governor David Jemibewon, who was overthrown in 1976.")</f>
        <v>"Ade Atoaja has not been crowned for a long time, he and others were during the military government of governor David Jemibewon, who was overthrown in 1976.</v>
      </c>
    </row>
    <row r="1247" ht="15.75" customHeight="1">
      <c r="A1247" s="2" t="s">
        <v>1279</v>
      </c>
      <c r="B1247" s="2" t="str">
        <f>IFERROR(__xludf.DUMMYFUNCTION("GOOGLETRANSLATE(A1247, ""yo"", ""en"")"),"""The number of years of the crown of beads that the viewer is reaching is impossible to tell, it has come from nature, it is from the source, and it is a fruit."" King Akanbi based his statement on this and my words, and his supporters later told him tha"&amp;"t it was true.")</f>
        <v>"The number of years of the crown of beads that the viewer is reaching is impossible to tell, it has come from nature, it is from the source, and it is a fruit." King Akanbi based his statement on this and my words, and his supporters later told him that it was true.</v>
      </c>
    </row>
    <row r="1248" ht="15.75" customHeight="1">
      <c r="A1248" s="2" t="s">
        <v>1280</v>
      </c>
      <c r="B1248" s="2" t="str">
        <f>IFERROR(__xludf.DUMMYFUNCTION("GOOGLETRANSLATE(A1248, ""yo"", ""en"")"),"The matter is not over, as the king's opinion is not the same.")</f>
        <v>The matter is not over, as the king's opinion is not the same.</v>
      </c>
    </row>
    <row r="1249" ht="15.75" customHeight="1">
      <c r="A1249" s="2" t="s">
        <v>1281</v>
      </c>
      <c r="B1249" s="2" t="str">
        <f>IFERROR(__xludf.DUMMYFUNCTION("GOOGLETRANSLATE(A1249, ""yo"", ""en"")"),"The commissioner for local government affairs and intelligence in Osun state, Attorney Dosu Babatunde, explained to the BBC about this matter: ""We know that anyone is fighting for something, I also know that they are fighting.")</f>
        <v>The commissioner for local government affairs and intelligence in Osun state, Attorney Dosu Babatunde, explained to the BBC about this matter: "We know that anyone is fighting for something, I also know that they are fighting.</v>
      </c>
    </row>
    <row r="1250" ht="15.75" customHeight="1">
      <c r="A1250" s="2" t="s">
        <v>1282</v>
      </c>
      <c r="B1250" s="2" t="str">
        <f>IFERROR(__xludf.DUMMYFUNCTION("GOOGLETRANSLATE(A1250, ""yo"", ""en"")"),"""There is no reason for fighting, we are Yoruba people.")</f>
        <v>"There is no reason for fighting, we are Yoruba people.</v>
      </c>
    </row>
    <row r="1251" ht="15.75" customHeight="1">
      <c r="A1251" s="2" t="s">
        <v>1283</v>
      </c>
      <c r="B1251" s="2" t="str">
        <f>IFERROR(__xludf.DUMMYFUNCTION("GOOGLETRANSLATE(A1251, ""yo"", ""en"")"),"""Like a Yoruba child, you shouldn't be jealous, I beg you not to be jealous.")</f>
        <v>"Like a Yoruba child, you shouldn't be jealous, I beg you not to be jealous.</v>
      </c>
    </row>
    <row r="1252" ht="15.75" customHeight="1">
      <c r="A1252" s="2" t="s">
        <v>1284</v>
      </c>
      <c r="B1252" s="2" t="str">
        <f>IFERROR(__xludf.DUMMYFUNCTION("GOOGLETRANSLATE(A1252, ""yo"", ""en"")"),"King Aeyeye said this when he visited Olubadan at his home in Bodija, Ibadan.")</f>
        <v>King Aeyeye said this when he visited Olubadan at his home in Bodija, Ibadan.</v>
      </c>
    </row>
    <row r="1253" ht="15.75" customHeight="1">
      <c r="A1253" s="2" t="s">
        <v>1285</v>
      </c>
      <c r="B1253" s="2" t="str">
        <f>IFERROR(__xludf.DUMMYFUNCTION("GOOGLETRANSLATE(A1253, ""yo"", ""en"")"),"Ooni described Olubadan as a person with a lot of experience after having been a senator and a governor for a time before he ascended the throne.")</f>
        <v>Ooni described Olubadan as a person with a lot of experience after having been a senator and a governor for a time before he ascended the throne.</v>
      </c>
    </row>
    <row r="1254" ht="15.75" customHeight="1">
      <c r="A1254" s="2" t="s">
        <v>1286</v>
      </c>
      <c r="B1254" s="2" t="str">
        <f>IFERROR(__xludf.DUMMYFUNCTION("GOOGLETRANSLATE(A1254, ""yo"", ""en"")"),"According to what he said, Ladoja's time as Olubadan will reward the citizens at home and abroad.")</f>
        <v>According to what he said, Ladoja's time as Olubadan will reward the citizens at home and abroad.</v>
      </c>
    </row>
    <row r="1255" ht="15.75" customHeight="1">
      <c r="A1255" s="2" t="s">
        <v>1287</v>
      </c>
      <c r="B1255" s="2" t="str">
        <f>IFERROR(__xludf.DUMMYFUNCTION("GOOGLETRANSLATE(A1255, ""yo"", ""en"")"),"He said, ""King Ladoja is not just a leader, he is an example of a father who has various experiences, and we need his wisdom and patience nowadays more than ever.")</f>
        <v>He said, "King Ladoja is not just a leader, he is an example of a father who has various experiences, and we need his wisdom and patience nowadays more than ever.</v>
      </c>
    </row>
    <row r="1256" ht="15.75" customHeight="1">
      <c r="A1256" s="2" t="s">
        <v>1288</v>
      </c>
      <c r="B1256" s="2" t="str">
        <f>IFERROR(__xludf.DUMMYFUNCTION("GOOGLETRANSLATE(A1256, ""yo"", ""en"")"),"Some crocodiles have lived in the city, which has replaced the city with something that cannot be pushed back in terms of culture and spirit."" He then called on the kings of the Yoruba land to avoid deception and fighting between themselves.")</f>
        <v>Some crocodiles have lived in the city, which has replaced the city with something that cannot be pushed back in terms of culture and spirit." He then called on the kings of the Yoruba land to avoid deception and fighting between themselves.</v>
      </c>
    </row>
    <row r="1257" ht="15.75" customHeight="1">
      <c r="A1257" s="2" t="s">
        <v>1289</v>
      </c>
      <c r="B1257" s="2" t="str">
        <f>IFERROR(__xludf.DUMMYFUNCTION("GOOGLETRANSLATE(A1257, ""yo"", ""en"")"),"He said ""If we refuse to be united, we will fight against our leaders and people."" Ooni also used the time to urge Olubadan not to care about the slanderers, and his work is not popular in the place where he was appointed.")</f>
        <v>He said "If we refuse to be united, we will fight against our leaders and people." Ooni also used the time to urge Olubadan not to care about the slanderers, and his work is not popular in the place where he was appointed.</v>
      </c>
    </row>
    <row r="1258" ht="15.75" customHeight="1">
      <c r="A1258" s="2" t="s">
        <v>1290</v>
      </c>
      <c r="B1258" s="2" t="str">
        <f>IFERROR(__xludf.DUMMYFUNCTION("GOOGLETRANSLATE(A1258, ""yo"", ""en"")"),"Many citizens have started to express their opinion on this meeting between Ooni and Olubadan, especially as Ooni went to Ibadan to greet Olubadan.")</f>
        <v>Many citizens have started to express their opinion on this meeting between Ooni and Olubadan, especially as Ooni went to Ibadan to greet Olubadan.</v>
      </c>
    </row>
    <row r="1259" ht="15.75" customHeight="1">
      <c r="A1259" s="2" t="s">
        <v>1291</v>
      </c>
      <c r="B1259" s="2" t="str">
        <f>IFERROR(__xludf.DUMMYFUNCTION("GOOGLETRANSLATE(A1259, ""yo"", ""en"")"),"According to what the historians are saying, this means that the unity that has existed between the clans in Yoruba land for a long time has not been forgotten.")</f>
        <v>According to what the historians are saying, this means that the unity that has existed between the clans in Yoruba land for a long time has not been forgotten.</v>
      </c>
    </row>
    <row r="1260" ht="15.75" customHeight="1">
      <c r="A1260" s="2" t="s">
        <v>1292</v>
      </c>
      <c r="B1260" s="2" t="str">
        <f>IFERROR(__xludf.DUMMYFUNCTION("GOOGLETRANSLATE(A1260, ""yo"", ""en"")"),"The meeting also means that there is no feeling between the two Kings and that how the Yoruba land will continue is up to both of them.")</f>
        <v>The meeting also means that there is no feeling between the two Kings and that how the Yoruba land will continue is up to both of them.</v>
      </c>
    </row>
    <row r="1261" ht="15.75" customHeight="1">
      <c r="A1261" s="2" t="s">
        <v>1293</v>
      </c>
      <c r="B1261" s="2" t="str">
        <f>IFERROR(__xludf.DUMMYFUNCTION("GOOGLETRANSLATE(A1261, ""yo"", ""en"")"),"If you don't forget, for the past three days, the fight between Ooni Ile Ife and Aaalfin of Oyo, and similar things are also happening between Oluwo of Iwo and Ayaoja of Osogbo.")</f>
        <v>If you don't forget, for the past three days, the fight between Ooni Ile Ife and Aaalfin of Oyo, and similar things are also happening between Oluwo of Iwo and Ayaoja of Osogbo.</v>
      </c>
    </row>
    <row r="1262" ht="15.75" customHeight="1">
      <c r="A1262" s="2" t="s">
        <v>1294</v>
      </c>
      <c r="B1262" s="2" t="str">
        <f>IFERROR(__xludf.DUMMYFUNCTION("GOOGLETRANSLATE(A1262, ""yo"", ""en"")"),"Although Ooni did not mention Alaafin during the meeting, Olubadan had said before that there is no conflict between Ooni and Alaafin, but the supporters of the two wanted to stop fighting between them.")</f>
        <v>Although Ooni did not mention Alaafin during the meeting, Olubadan had said before that there is no conflict between Ooni and Alaafin, but the supporters of the two wanted to stop fighting between them.</v>
      </c>
    </row>
    <row r="1263" ht="15.75" customHeight="1">
      <c r="A1263" s="2" t="s">
        <v>1295</v>
      </c>
      <c r="B1263" s="2" t="str">
        <f>IFERROR(__xludf.DUMMYFUNCTION("GOOGLETRANSLATE(A1263, ""yo"", ""en"")"),"Yes, Ooni has announced that in the month of December, this year they will fight Chief Jubril Dotun Sanusi as Okanlomo Oodua in Yoruba.")</f>
        <v>Yes, Ooni has announced that in the month of December, this year they will fight Chief Jubril Dotun Sanusi as Okanlomo Oodua in Yoruba.</v>
      </c>
    </row>
    <row r="1264" ht="15.75" customHeight="1">
      <c r="A1264" s="2" t="s">
        <v>1296</v>
      </c>
      <c r="B1264" s="2" t="str">
        <f>IFERROR(__xludf.DUMMYFUNCTION("GOOGLETRANSLATE(A1264, ""yo"", ""en"")"),"This announcement put an end to the controversy that existed before on how they announced Sanusi as the son of the intellectual.")</f>
        <v>This announcement put an end to the controversy that existed before on how they announced Sanusi as the son of the intellectual.</v>
      </c>
    </row>
    <row r="1265" ht="15.75" customHeight="1">
      <c r="A1265" s="2" t="s">
        <v>1297</v>
      </c>
      <c r="B1265" s="2" t="str">
        <f>IFERROR(__xludf.DUMMYFUNCTION("GOOGLETRANSLATE(A1265, ""yo"", ""en"")"),"Earlier, Oyo's Alaafin, King Akeem Abimbola Owoade, had first criticized Ooni for his step to announce the genius.")</f>
        <v>Earlier, Oyo's Alaafin, King Akeem Abimbola Owoade, had first criticized Ooni for his step to announce the genius.</v>
      </c>
    </row>
    <row r="1266" ht="15.75" customHeight="1">
      <c r="A1266" s="2" t="s">
        <v>1298</v>
      </c>
      <c r="B1266" s="2" t="str">
        <f>IFERROR(__xludf.DUMMYFUNCTION("GOOGLETRANSLATE(A1266, ""yo"", ""en"")"),"He said that it is not right for Ooni to use a human being to judge the entire Yoruba land.")</f>
        <v>He said that it is not right for Ooni to use a human being to judge the entire Yoruba land.</v>
      </c>
    </row>
    <row r="1267" ht="15.75" customHeight="1">
      <c r="A1267" s="2" t="s">
        <v>1299</v>
      </c>
      <c r="B1267" s="2" t="str">
        <f>IFERROR(__xludf.DUMMYFUNCTION("GOOGLETRANSLATE(A1267, ""yo"", ""en"")"),"A total of 6.7 million voters are expected to vote to express their opinion on the new constitution.")</f>
        <v>A total of 6.7 million voters are expected to vote to express their opinion on the new constitution.</v>
      </c>
    </row>
    <row r="1268" ht="15.75" customHeight="1">
      <c r="A1268" s="2" t="s">
        <v>1300</v>
      </c>
      <c r="B1268" s="2" t="str">
        <f>IFERROR(__xludf.DUMMYFUNCTION("GOOGLETRANSLATE(A1268, ""yo"", ""en"")"),"This is the first step based on the return of the country of Guinea to the Awarawa government.")</f>
        <v>This is the first step based on the return of the country of Guinea to the Awarawa government.</v>
      </c>
    </row>
    <row r="1269" ht="15.75" customHeight="1">
      <c r="A1269" s="2" t="s">
        <v>1301</v>
      </c>
      <c r="B1269" s="2" t="str">
        <f>IFERROR(__xludf.DUMMYFUNCTION("GOOGLETRANSLATE(A1269, ""yo"", ""en"")"),"In order to accept the results of this election, fifty percent of the people must vote on this new constitution.")</f>
        <v>In order to accept the results of this election, fifty percent of the people must vote on this new constitution.</v>
      </c>
    </row>
    <row r="1270" ht="15.75" customHeight="1">
      <c r="A1270" s="2" t="s">
        <v>1302</v>
      </c>
      <c r="B1270" s="2" t="str">
        <f>IFERROR(__xludf.DUMMYFUNCTION("GOOGLETRANSLATE(A1270, ""yo"", ""en"")"),"According to the National Gendarmerie, there may be 45,000 soldiers that the government has sent to the city to see that the move goes smoothly and to see that the citizens come out and express their opinion.")</f>
        <v>According to the National Gendarmerie, there may be 45,000 soldiers that the government has sent to the city to see that the move goes smoothly and to see that the citizens come out and express their opinion.</v>
      </c>
    </row>
    <row r="1271" ht="15.75" customHeight="1">
      <c r="A1271" s="2" t="s">
        <v>1303</v>
      </c>
      <c r="B1271" s="2" t="str">
        <f>IFERROR(__xludf.DUMMYFUNCTION("GOOGLETRANSLATE(A1271, ""yo"", ""en"")"),"Similarly, the majority said ""Yes"" to the request to increase the number of years that the president will spend from five to seven years for two years and the release of the upper house of parliament, and the president will appoint one third of the lawy"&amp;"ers.")</f>
        <v>Similarly, the majority said "Yes" to the request to increase the number of years that the president will spend from five to seven years for two years and the release of the upper house of parliament, and the president will appoint one third of the lawyers.</v>
      </c>
    </row>
    <row r="1272" ht="15.75" customHeight="1">
      <c r="A1272" s="2" t="s">
        <v>1304</v>
      </c>
      <c r="B1272" s="2" t="str">
        <f>IFERROR(__xludf.DUMMYFUNCTION("GOOGLETRANSLATE(A1272, ""yo"", ""en"")"),"Admiral Mamady Doumbouya has not announced his intention to run against the president but his opponents in this election step have shown that he wants to continue as the head of the country.")</f>
        <v>Admiral Mamady Doumbouya has not announced his intention to run against the president but his opponents in this election step have shown that he wants to continue as the head of the country.</v>
      </c>
    </row>
    <row r="1273" ht="15.75" customHeight="1">
      <c r="A1273" s="2" t="s">
        <v>1305</v>
      </c>
      <c r="B1273" s="2" t="str">
        <f>IFERROR(__xludf.DUMMYFUNCTION("GOOGLETRANSLATE(A1273, ""yo"", ""en"")"),"Doumbouya was elected in September 2021, and he fired President Alpha Conde, who left the city for Istanbul, from the presidency.")</f>
        <v>Doumbouya was elected in September 2021, and he fired President Alpha Conde, who left the city for Istanbul, from the presidency.</v>
      </c>
    </row>
    <row r="1274" ht="15.75" customHeight="1">
      <c r="A1274" s="2" t="s">
        <v>1306</v>
      </c>
      <c r="B1274" s="2" t="str">
        <f>IFERROR(__xludf.DUMMYFUNCTION("GOOGLETRANSLATE(A1274, ""yo"", ""en"")"),"The two leaders of the opposition, Alpha Conde and Cellou Dalein Diallo, have abstained from the election process, and urged the supporters to do so.")</f>
        <v>The two leaders of the opposition, Alpha Conde and Cellou Dalein Diallo, have abstained from the election process, and urged the supporters to do so.</v>
      </c>
    </row>
    <row r="1275" ht="15.75" customHeight="1">
      <c r="A1275" s="2" t="s">
        <v>1307</v>
      </c>
      <c r="B1275" s="2" t="str">
        <f>IFERROR(__xludf.DUMMYFUNCTION("GOOGLETRANSLATE(A1275, ""yo"", ""en"")"),"Guinea's military government refused to return to power by the end of 2024 as promised.")</f>
        <v>Guinea's military government refused to return to power by the end of 2024 as promised.</v>
      </c>
    </row>
    <row r="1276" ht="15.75" customHeight="1">
      <c r="A1276" s="2" t="s">
        <v>1308</v>
      </c>
      <c r="B1276" s="2" t="str">
        <f>IFERROR(__xludf.DUMMYFUNCTION("GOOGLETRANSLATE(A1276, ""yo"", ""en"")"),"During this election on the new constitution, the military government has promised that they will see that the election to the position of government takes place but they have not announced the date that this will take place.")</f>
        <v>During this election on the new constitution, the military government has promised that they will see that the election to the position of government takes place but they have not announced the date that this will take place.</v>
      </c>
    </row>
    <row r="1277" ht="15.75" customHeight="1">
      <c r="A1277" s="2" t="s">
        <v>1309</v>
      </c>
      <c r="B1277" s="2" t="str">
        <f>IFERROR(__xludf.DUMMYFUNCTION("GOOGLETRANSLATE(A1277, ""yo"", ""en"")"),"Know more about General Mahamady Doumbouya who plotted to take power from President Alpha Condé On the fifth day, September 2021, the soldiers took power from President Alpha Condé of the country of Guinea after they first fired at his house.")</f>
        <v>Know more about General Mahamady Doumbouya who plotted to take power from President Alpha Condé On the fifth day, September 2021, the soldiers took power from President Alpha Condé of the country of Guinea after they first fired at his house.</v>
      </c>
    </row>
    <row r="1278" ht="15.75" customHeight="1">
      <c r="A1278" s="2" t="s">
        <v>1310</v>
      </c>
      <c r="B1278" s="2" t="str">
        <f>IFERROR(__xludf.DUMMYFUNCTION("GOOGLETRANSLATE(A1278, ""yo"", ""en"")"),"After that, Admiral Mahamady Doumbouya announced on the land's video camera that the Army had taken control from the insurgents.")</f>
        <v>After that, Admiral Mahamady Doumbouya announced on the land's video camera that the Army had taken control from the insurgents.</v>
      </c>
    </row>
    <row r="1279" ht="15.75" customHeight="1">
      <c r="A1279" s="2" t="s">
        <v>1311</v>
      </c>
      <c r="B1279" s="2" t="str">
        <f>IFERROR(__xludf.DUMMYFUNCTION("GOOGLETRANSLATE(A1279, ""yo"", ""en"")"),"He said that the soldiers will transfer the government to someone else when the time is right.")</f>
        <v>He said that the soldiers will transfer the government to someone else when the time is right.</v>
      </c>
    </row>
    <row r="1280" ht="15.75" customHeight="1">
      <c r="A1280" s="2" t="s">
        <v>1312</v>
      </c>
      <c r="B1280" s="2" t="str">
        <f>IFERROR(__xludf.DUMMYFUNCTION("GOOGLETRANSLATE(A1280, ""yo"", ""en"")"),"The navy was stationed in Forecariah, in western Guinea, before the attack.")</f>
        <v>The navy was stationed in Forecariah, in western Guinea, before the attack.</v>
      </c>
    </row>
    <row r="1281" ht="15.75" customHeight="1">
      <c r="A1281" s="2" t="s">
        <v>1313</v>
      </c>
      <c r="B1281" s="2" t="str">
        <f>IFERROR(__xludf.DUMMYFUNCTION("GOOGLETRANSLATE(A1131, ""yo"", ""en"")"),"He followed in the footsteps of his elder brother who was re-elected in 2009 but passed away while still on probation in 2012.")</f>
        <v>He followed in the footsteps of his elder brother who was re-elected in 2009 but passed away while still on probation in 2012.</v>
      </c>
    </row>
    <row r="1282" ht="15.75" customHeight="1">
      <c r="A1282" s="2" t="s">
        <v>1314</v>
      </c>
      <c r="B1282" s="2" t="str">
        <f>IFERROR(__xludf.DUMMYFUNCTION("GOOGLETRANSLATE(A1282, ""yo"", ""en"")"),"Reports say that no one knows where the meeting took place in Abuja on Thursday.")</f>
        <v>Reports say that no one knows where the meeting took place in Abuja on Thursday.</v>
      </c>
    </row>
    <row r="1283" ht="15.75" customHeight="1">
      <c r="A1283" s="2" t="s">
        <v>1315</v>
      </c>
      <c r="B1283" s="2" t="str">
        <f>IFERROR(__xludf.DUMMYFUNCTION("GOOGLETRANSLATE(A1283, ""yo"", ""en"")"),"Among those present at the meeting were former governor of Sokoto state, Aminu Tambuwal and former governor of Kwara state, Abdulfatai Ahmed.")</f>
        <v>Among those present at the meeting were former governor of Sokoto state, Aminu Tambuwal and former governor of Kwara state, Abdulfatai Ahmed.</v>
      </c>
    </row>
    <row r="1284" ht="15.75" customHeight="1">
      <c r="A1284" s="2" t="s">
        <v>1316</v>
      </c>
      <c r="B1284" s="2" t="str">
        <f>IFERROR(__xludf.DUMMYFUNCTION("GOOGLETRANSLATE(A1284, ""yo"", ""en"")"),"Other political figures present at the meeting include the former minister of husbandry, Rotimi Amaechi and the former minister of online economy, Isa Pantami.")</f>
        <v>Other political figures present at the meeting include the former minister of husbandry, Rotimi Amaechi and the former minister of online economy, Isa Pantami.</v>
      </c>
    </row>
    <row r="1285" ht="15.75" customHeight="1">
      <c r="A1285" s="2" t="s">
        <v>1317</v>
      </c>
      <c r="B1285" s="2" t="str">
        <f>IFERROR(__xludf.DUMMYFUNCTION("GOOGLETRANSLATE(A1285, ""yo"", ""en"")"),"On his X-point, Atiku has told people that he was at the meeting, he said this describes the strong gathering of the opposition.")</f>
        <v>On his X-point, Atiku has told people that he was at the meeting, he said this describes the strong gathering of the opposition.</v>
      </c>
    </row>
    <row r="1286" ht="15.75" customHeight="1">
      <c r="A1286" s="2" t="s">
        <v>1318</v>
      </c>
      <c r="B1286" s="2" t="str">
        <f>IFERROR(__xludf.DUMMYFUNCTION("GOOGLETRANSLATE(A1286, ""yo"", ""en"")"),"Atiku in ADC is ready to replace President Bola Tinubu with a leader who will lead Nigeria well.")</f>
        <v>Atiku in ADC is ready to replace President Bola Tinubu with a leader who will lead Nigeria well.</v>
      </c>
    </row>
    <row r="1287" ht="15.75" customHeight="1">
      <c r="A1287" s="2" t="s">
        <v>1319</v>
      </c>
      <c r="B1287" s="2" t="str">
        <f>IFERROR(__xludf.DUMMYFUNCTION("GOOGLETRANSLATE(A1287, ""yo"", ""en"")"),"BBC News Yoruba news on your WhatsApp Join us at End of podcast promotion The meeting held in Abuja is based on coming together as an opposition party in order to face the ruling APC political party in the 2027 election.")</f>
        <v>BBC News Yoruba news on your WhatsApp Join us at End of podcast promotion The meeting held in Abuja is based on coming together as an opposition party in order to face the ruling APC political party in the 2027 election.</v>
      </c>
    </row>
    <row r="1288" ht="15.75" customHeight="1">
      <c r="A1288" s="2" t="s">
        <v>1320</v>
      </c>
      <c r="B1288" s="2" t="str">
        <f>IFERROR(__xludf.DUMMYFUNCTION("GOOGLETRANSLATE(A1288, ""yo"", ""en"")"),"The chairman of ADC who is the former speaker of the Abuja parliament, Mark, led the meeting.")</f>
        <v>The chairman of ADC who is the former speaker of the Abuja parliament, Mark, led the meeting.</v>
      </c>
    </row>
    <row r="1289" ht="15.75" customHeight="1">
      <c r="A1289" s="2" t="s">
        <v>1321</v>
      </c>
      <c r="B1289" s="2" t="str">
        <f>IFERROR(__xludf.DUMMYFUNCTION("GOOGLETRANSLATE(A1289, ""yo"", ""en"")"),"These are the issues raised at the meeting of ADC officials in Abuja, according to the press secretary of the party, Bolaji Abdullahi: All those who want to vote for the president are not invited to support anyone who enters the internal vote for the pres"&amp;"idential candidate for the 2027 election.")</f>
        <v>These are the issues raised at the meeting of ADC officials in Abuja, according to the press secretary of the party, Bolaji Abdullahi: All those who want to vote for the president are not invited to support anyone who enters the internal vote for the presidential candidate for the 2027 election.</v>
      </c>
    </row>
    <row r="1290" ht="15.75" customHeight="1">
      <c r="A1290" s="2" t="s">
        <v>1322</v>
      </c>
      <c r="B1290" s="2" t="str">
        <f>IFERROR(__xludf.DUMMYFUNCTION("GOOGLETRANSLATE(A1290, ""yo"", ""en"")"),"The second thing that they did not want to do at the meeting is that some members who are in my political party should leave and ignore ADC only.")</f>
        <v>The second thing that they did not want to do at the meeting is that some members who are in my political party should leave and ignore ADC only.</v>
      </c>
    </row>
    <row r="1291" ht="15.75" customHeight="1">
      <c r="A1291" s="2" t="s">
        <v>1323</v>
      </c>
      <c r="B1291" s="2" t="str">
        <f>IFERROR(__xludf.DUMMYFUNCTION("GOOGLETRANSLATE(A1291, ""yo"", ""en"")"),"The third point that they did not agree on at the meeting is that the electoral commission will announce when the internal elections will be held before the next governorship election in Osun and Ekiti states.")</f>
        <v>The third point that they did not agree on at the meeting is that the electoral commission will announce when the internal elections will be held before the next governorship election in Osun and Ekiti states.</v>
      </c>
    </row>
    <row r="1292" ht="15.75" customHeight="1">
      <c r="A1292" s="2" t="s">
        <v>1324</v>
      </c>
      <c r="B1292" s="2" t="str">
        <f>IFERROR(__xludf.DUMMYFUNCTION("GOOGLETRANSLATE(A1292, ""yo"", ""en"")"),"In 2005, they first founded the ADC political party, but the name they called it then was Alliance for Democratic Change.")</f>
        <v>In 2005, they first founded the ADC political party, but the name they called it then was Alliance for Democratic Change.</v>
      </c>
    </row>
    <row r="1293" ht="15.75" customHeight="1">
      <c r="A1293" s="2" t="s">
        <v>1325</v>
      </c>
      <c r="B1293" s="2" t="str">
        <f>IFERROR(__xludf.DUMMYFUNCTION("GOOGLETRANSLATE(A1293, ""yo"", ""en"")"),"In 2011, they registered the group with the Nigerian Electoral Organization, INEC.")</f>
        <v>In 2011, they registered the group with the Nigerian Electoral Organization, INEC.</v>
      </c>
    </row>
    <row r="1294" ht="15.75" customHeight="1">
      <c r="A1294" s="2" t="s">
        <v>1326</v>
      </c>
      <c r="B1294" s="2" t="str">
        <f>IFERROR(__xludf.DUMMYFUNCTION("GOOGLETRANSLATE(A1294, ""yo"", ""en"")"),"Last July, a group of politicians who were angry with the APC government gathered from various political parties in Nigeria and joined the ADC.")</f>
        <v>Last July, a group of politicians who were angry with the APC government gathered from various political parties in Nigeria and joined the ADC.</v>
      </c>
    </row>
    <row r="1295" ht="15.75" customHeight="1">
      <c r="A1295" s="2" t="s">
        <v>1327</v>
      </c>
      <c r="B1295" s="2" t="str">
        <f>IFERROR(__xludf.DUMMYFUNCTION("GOOGLETRANSLATE(A1295, ""yo"", ""en"")"),"Among those who have joined the ADC are former governor of Osun state, Rauf Aregbesola, former chairman of APC, John Odigie-Oyegun, Dino Melaye, Uche Secondus and Emeka Ihedioha.")</f>
        <v>Among those who have joined the ADC are former governor of Osun state, Rauf Aregbesola, former chairman of APC, John Odigie-Oyegun, Dino Melaye, Uche Secondus and Emeka Ihedioha.</v>
      </c>
    </row>
    <row r="1296" ht="15.75" customHeight="1">
      <c r="A1296" s="2" t="s">
        <v>1328</v>
      </c>
      <c r="B1296" s="2" t="str">
        <f>IFERROR(__xludf.DUMMYFUNCTION("GOOGLETRANSLATE(A1296, ""yo"", ""en"")"),"Many people are saying that it is possible that Atiku, Peter Obi, and Amaechi will be among those who will participate in the ADC internal voting system for the candidate for the 2027 presidential election.")</f>
        <v>Many people are saying that it is possible that Atiku, Peter Obi, and Amaechi will be among those who will participate in the ADC internal voting system for the candidate for the 2027 presidential election.</v>
      </c>
    </row>
    <row r="1297" ht="15.75" customHeight="1">
      <c r="A1297" s="2" t="s">
        <v>1329</v>
      </c>
      <c r="B1297" s="2" t="str">
        <f>IFERROR(__xludf.DUMMYFUNCTION("GOOGLETRANSLATE(A1297, ""yo"", ""en"")"),"Starting from how they will close certain roads, which they have informed the citizens about other ways they can use that will make their journey difficult.")</f>
        <v>Starting from how they will close certain roads, which they have informed the citizens about other ways they can use that will make their journey difficult.</v>
      </c>
    </row>
    <row r="1298" ht="15.75" customHeight="1">
      <c r="A1298" s="2" t="s">
        <v>1330</v>
      </c>
      <c r="B1298" s="2" t="str">
        <f>IFERROR(__xludf.DUMMYFUNCTION("GOOGLETRANSLATE(A1298, ""yo"", ""en"")"),"Similarly, the Oyo state government and especially the Samuel Ladoke Akintola plane in Ibadan, has received the first plane guest after they were killed in the third month of this year.")</f>
        <v>Similarly, the Oyo state government and especially the Samuel Ladoke Akintola plane in Ibadan, has received the first plane guest after they were killed in the third month of this year.</v>
      </c>
    </row>
    <row r="1299" ht="15.75" customHeight="1">
      <c r="A1299" s="2" t="s">
        <v>1331</v>
      </c>
      <c r="B1299" s="2" t="str">
        <f>IFERROR(__xludf.DUMMYFUNCTION("GOOGLETRANSLATE(A1299, ""yo"", ""en"")"),"This step was taken because the city of Ibadan will not host the President of Nigeria, Bola Tinubu for the celebration of the new Olubadan.")</f>
        <v>This step was taken because the city of Ibadan will not host the President of Nigeria, Bola Tinubu for the celebration of the new Olubadan.</v>
      </c>
    </row>
    <row r="1300" ht="15.75" customHeight="1">
      <c r="A1300" s="2" t="s">
        <v>1332</v>
      </c>
      <c r="B1300" s="2" t="str">
        <f>IFERROR(__xludf.DUMMYFUNCTION("GOOGLETRANSLATE(A1300, ""yo"", ""en"")"),"This balloon landed exactly at nine o'clock and fourteen minutes later, and brought back a lot of happiness and joy to the people.")</f>
        <v>This balloon landed exactly at nine o'clock and fourteen minutes later, and brought back a lot of happiness and joy to the people.</v>
      </c>
    </row>
    <row r="1301" ht="15.75" customHeight="1">
      <c r="A1301" s="2" t="s">
        <v>1333</v>
      </c>
      <c r="B1301" s="2" t="str">
        <f>IFERROR(__xludf.DUMMYFUNCTION("GOOGLETRANSLATE(A1301, ""yo"", ""en"")"),"Likewise, the Chief Minister of Oyo State, Asiwaju Yekeen Abass has ordered that all oil markets in Ibadan be closed before the Olubadan celebration.")</f>
        <v>Likewise, the Chief Minister of Oyo State, Asiwaju Yekeen Abass has ordered that all oil markets in Ibadan be closed before the Olubadan celebration.</v>
      </c>
    </row>
    <row r="1302" ht="15.75" customHeight="1">
      <c r="A1302" s="2" t="s">
        <v>1334</v>
      </c>
      <c r="B1302" s="2" t="str">
        <f>IFERROR(__xludf.DUMMYFUNCTION("GOOGLETRANSLATE(A1302, ""yo"", ""en"")"),"This ceremony will be held on the twenty-fourth day of the ninth month of 2025 at the Mapo hall in Ibadan, which is the capital of Oyo state.")</f>
        <v>This ceremony will be held on the twenty-fourth day of the ninth month of 2025 at the Mapo hall in Ibadan, which is the capital of Oyo state.</v>
      </c>
    </row>
    <row r="1303" ht="15.75" customHeight="1">
      <c r="A1303" s="2" t="s">
        <v>1335</v>
      </c>
      <c r="B1303" s="2" t="str">
        <f>IFERROR(__xludf.DUMMYFUNCTION("GOOGLETRANSLATE(A1303, ""yo"", ""en"")"),"This announcement is contained in the press release that Babaloja issued to journalists to wish the new Olubadan, Oba Rasidi Adewolu Ladoja the best of luck as the thirty-fourth Olubadan Babaloja urged all traders in the eleven local governments in Ibadan"&amp;" to sell their goods to honor the new crown.")</f>
        <v>This announcement is contained in the press release that Babaloja issued to journalists to wish the new Olubadan, Oba Rasidi Adewolu Ladoja the best of luck as the thirty-fourth Olubadan Babaloja urged all traders in the eleven local governments in Ibadan to sell their goods to honor the new crown.</v>
      </c>
    </row>
    <row r="1304" ht="15.75" customHeight="1">
      <c r="A1304" s="2" t="s">
        <v>1336</v>
      </c>
      <c r="B1304" s="2" t="str">
        <f>IFERROR(__xludf.DUMMYFUNCTION("GOOGLETRANSLATE(A1304, ""yo"", ""en"")"),"The king's understanding of the land of Ibadan is not confusing, the person concerned will have known himself before the time he arrived there.")</f>
        <v>The king's understanding of the land of Ibadan is not confusing, the person concerned will have known himself before the time he arrived there.</v>
      </c>
    </row>
    <row r="1305" ht="15.75" customHeight="1">
      <c r="A1305" s="2" t="s">
        <v>1337</v>
      </c>
      <c r="B1305" s="2" t="str">
        <f>IFERROR(__xludf.DUMMYFUNCTION("GOOGLETRANSLATE(A1305, ""yo"", ""en"")"),"This is the reason why everyone is now paying homage to Chief Senator Rasheed Adewolu Ladoja, the former governor of Oyo who will become the 44th President.")</f>
        <v>This is the reason why everyone is now paying homage to Chief Senator Rasheed Adewolu Ladoja, the former governor of Oyo who will become the 44th President.</v>
      </c>
    </row>
    <row r="1306" ht="15.75" customHeight="1">
      <c r="A1306" s="2" t="s">
        <v>1338</v>
      </c>
      <c r="B1306" s="2" t="str">
        <f>IFERROR(__xludf.DUMMYFUNCTION("GOOGLETRANSLATE(A1306, ""yo"", ""en"")"),"This is happening that Rasheed Ladoja before he became Olubadan due to the change of Olubadan Owolabi Olakuleyin, when he left a few days less than a year to rule the city of Ibadan.")</f>
        <v>This is happening that Rasheed Ladoja before he became Olubadan due to the change of Olubadan Owolabi Olakuleyin, when he left a few days less than a year to rule the city of Ibadan.</v>
      </c>
    </row>
    <row r="1307" ht="15.75" customHeight="1">
      <c r="A1307" s="2" t="s">
        <v>1339</v>
      </c>
      <c r="B1307" s="2" t="str">
        <f>IFERROR(__xludf.DUMMYFUNCTION("GOOGLETRANSLATE(A1307, ""yo"", ""en"")"),"On the twelfth day of July 2024, the former king became the 33rd President under the law.")</f>
        <v>On the twelfth day of July 2024, the former king became the 33rd President under the law.</v>
      </c>
    </row>
    <row r="1308" ht="15.75" customHeight="1">
      <c r="A1308" s="2" t="s">
        <v>1340</v>
      </c>
      <c r="B1308" s="2" t="str">
        <f>IFERROR(__xludf.DUMMYFUNCTION("GOOGLETRANSLATE(A1308, ""yo"", ""en"")"),"In a press release signed by the leader and secretary of the APTAN branch of Ile Ife, Comrade Saidi Adegoke and Monsur Jimoh, the group said that the representatives of the Ooni palace still stole the goods of some members and did not leave.")</f>
        <v>In a press release signed by the leader and secretary of the APTAN branch of Ile Ife, Comrade Saidi Adegoke and Monsur Jimoh, the group said that the representatives of the Ooni palace still stole the goods of some members and did not leave.</v>
      </c>
    </row>
    <row r="1309" ht="15.75" customHeight="1">
      <c r="A1309" s="2" t="s">
        <v>1341</v>
      </c>
      <c r="B1309" s="2" t="str">
        <f>IFERROR(__xludf.DUMMYFUNCTION("GOOGLETRANSLATE(A1309, ""yo"", ""en"")"),"They called on the federal government and the police to intervene in the matter.")</f>
        <v>They called on the federal government and the police to intervene in the matter.</v>
      </c>
    </row>
    <row r="1310" ht="15.75" customHeight="1">
      <c r="A1310" s="2" t="s">
        <v>1342</v>
      </c>
      <c r="B1310" s="2" t="str">
        <f>IFERROR(__xludf.DUMMYFUNCTION("GOOGLETRANSLATE(A1310, ""yo"", ""en"")"),"The APTAN team stated in a press release that ""On Victory Day last week, an event took place at Otisese Ojatuntun in Ile Ife.")</f>
        <v>The APTAN team stated in a press release that "On Victory Day last week, an event took place at Otisese Ojatuntun in Ile Ife.</v>
      </c>
    </row>
    <row r="1311" ht="15.75" customHeight="1">
      <c r="A1311" s="2" t="s">
        <v>1343</v>
      </c>
      <c r="B1311" s="2" t="str">
        <f>IFERROR(__xludf.DUMMYFUNCTION("GOOGLETRANSLATE(A1311, ""yo"", ""en"")"),"There are some men who said that they came from Ooni's palace to invade our market, and forcibly removed the products of our members.")</f>
        <v>There are some men who said that they came from Ooni's palace to invade our market, and forcibly removed the products of our members.</v>
      </c>
    </row>
    <row r="1312" ht="15.75" customHeight="1">
      <c r="A1312" s="2" t="s">
        <v>1344</v>
      </c>
      <c r="B1312" s="2" t="str">
        <f>IFERROR(__xludf.DUMMYFUNCTION("GOOGLETRANSLATE(A1312, ""yo"", ""en"")"),"For about five years now, these people have been harassing our members, and are trying to steal their products.")</f>
        <v>For about five years now, these people have been harassing our members, and are trying to steal their products.</v>
      </c>
    </row>
    <row r="1313" ht="15.75" customHeight="1">
      <c r="A1313" s="2" t="s">
        <v>1345</v>
      </c>
      <c r="B1313" s="2" t="str">
        <f>IFERROR(__xludf.DUMMYFUNCTION("GOOGLETRANSLATE(A1313, ""yo"", ""en"")"),"However, they didn't return our products that they stole, and it has become an annual occurrence of this event.""")</f>
        <v>However, they didn't return our products that they stole, and it has become an annual occurrence of this event."</v>
      </c>
    </row>
    <row r="1314" ht="15.75" customHeight="1">
      <c r="A1314" s="2" t="s">
        <v>1346</v>
      </c>
      <c r="B1314" s="2" t="str">
        <f>IFERROR(__xludf.DUMMYFUNCTION("GOOGLETRANSLATE(A1314, ""yo"", ""en"")"),"However, the group did not confirm that it is possible that His Excellency Ooni does not know anything about the people who are trying to steal the products of APTAN members every year.")</f>
        <v>However, the group did not confirm that it is possible that His Excellency Ooni does not know anything about the people who are trying to steal the products of APTAN members every year.</v>
      </c>
    </row>
    <row r="1315" ht="15.75" customHeight="1">
      <c r="A1315" s="2" t="s">
        <v>1347</v>
      </c>
      <c r="B1315" s="2" t="str">
        <f>IFERROR(__xludf.DUMMYFUNCTION("GOOGLETRANSLATE(A1315, ""yo"", ""en"")"),"Well, the head of news at the Ooni Ile Ife palace, Chief Moses Olafare, has told BBC Yoruba that His Majesty Ogunwusi did not send anyone to go and pay the vendors for the New Year of Olojo.")</f>
        <v>Well, the head of news at the Ooni Ile Ife palace, Chief Moses Olafare, has told BBC Yoruba that His Majesty Ogunwusi did not send anyone to go and pay the vendors for the New Year of Olojo.</v>
      </c>
    </row>
    <row r="1316" ht="15.75" customHeight="1">
      <c r="A1316" s="2" t="s">
        <v>1348</v>
      </c>
      <c r="B1316" s="2" t="str">
        <f>IFERROR(__xludf.DUMMYFUNCTION("GOOGLETRANSLATE(A1316, ""yo"", ""en"")"),"Chief Olafare His Majesty spends about three hundred to four hundred million naira (N300m-N400m) every year on Olojo year.")</f>
        <v>Chief Olafare His Majesty spends about three hundred to four hundred million naira (N300m-N400m) every year on Olojo year.</v>
      </c>
    </row>
    <row r="1317" ht="15.75" customHeight="1">
      <c r="A1317" s="2" t="s">
        <v>1349</v>
      </c>
      <c r="B1317" s="2" t="str">
        <f>IFERROR(__xludf.DUMMYFUNCTION("GOOGLETRANSLATE(A1317, ""yo"", ""en"")"),"""All the money APTAN members want to donate is less than one million naira, which is not enough for a normal news program for the current year.")</f>
        <v>"All the money APTAN members want to donate is less than one million naira, which is not enough for a normal news program for the current year.</v>
      </c>
    </row>
    <row r="1318" ht="15.75" customHeight="1">
      <c r="A1318" s="2" t="s">
        <v>1350</v>
      </c>
      <c r="B1318" s="2" t="str">
        <f>IFERROR(__xludf.DUMMYFUNCTION("GOOGLETRANSLATE(A1318, ""yo"", ""en"")"),"When they know these people, how should they be arrested by the police.")</f>
        <v>When they know these people, how should they be arrested by the police.</v>
      </c>
    </row>
    <row r="1319" ht="15.75" customHeight="1">
      <c r="A1319" s="2" t="s">
        <v>1351</v>
      </c>
      <c r="B1319" s="2" t="str">
        <f>IFERROR(__xludf.DUMMYFUNCTION("GOOGLETRANSLATE(A1319, ""yo"", ""en"")"),"That is the step they should take instead of the journalists who are talking about it,'' Chief Olafare said.")</f>
        <v>That is the step they should take instead of the journalists who are talking about it,'' Chief Olafare said.</v>
      </c>
    </row>
    <row r="1320" ht="15.75" customHeight="1">
      <c r="A1320" s="2" t="s">
        <v>1352</v>
      </c>
      <c r="B1320" s="2" t="str">
        <f>IFERROR(__xludf.DUMMYFUNCTION("GOOGLETRANSLATE(A1320, ""yo"", ""en"")"),"Fubara, the person who returned to the position of Governor last week after President Tinubu announced that he will leave Rivers State for six months.")</f>
        <v>Fubara, the person who returned to the position of Governor last week after President Tinubu announced that he will leave Rivers State for six months.</v>
      </c>
    </row>
    <row r="1321" ht="15.75" customHeight="1">
      <c r="A1321" s="2" t="s">
        <v>1353</v>
      </c>
      <c r="B1321" s="2" t="str">
        <f>IFERROR(__xludf.DUMMYFUNCTION("GOOGLETRANSLATE(A1321, ""yo"", ""en"")"),"While talking to journalists after his meeting with President Tinubu, Fubara took the step to come to the President because he wanted to thank him and to let him know that he has returned to the position of Governor of Rivers state.")</f>
        <v>While talking to journalists after his meeting with President Tinubu, Fubara took the step to come to the President because he wanted to thank him and to let him know that he has returned to the position of Governor of Rivers state.</v>
      </c>
    </row>
    <row r="1322" ht="15.75" customHeight="1">
      <c r="A1322" s="2" t="s">
        <v>1354</v>
      </c>
      <c r="B1322" s="2" t="str">
        <f>IFERROR(__xludf.DUMMYFUNCTION("GOOGLETRANSLATE(A1322, ""yo"", ""en"")"),"""You know that the announcement of the city of Farao ended on the 17th of September, and I returned to work on the 19th.")</f>
        <v>"You know that the announcement of the city of Farao ended on the 17th of September, and I returned to work on the 19th.</v>
      </c>
    </row>
    <row r="1323" ht="15.75" customHeight="1">
      <c r="A1323" s="2" t="s">
        <v>1355</v>
      </c>
      <c r="B1323" s="2" t="str">
        <f>IFERROR(__xludf.DUMMYFUNCTION("GOOGLETRANSLATE(A1323, ""yo"", ""en"")"),"Various events took place during the six months, in which the Ibok-Ete Ekwe Ibas leader has appointed people who will oversee the twenty-three local governments in Rivers to work with him.")</f>
        <v>Various events took place during the six months, in which the Ibok-Ete Ekwe Ibas leader has appointed people who will oversee the twenty-three local governments in Rivers to work with him.</v>
      </c>
    </row>
    <row r="1324" ht="15.75" customHeight="1">
      <c r="A1324" s="2" t="s">
        <v>1356</v>
      </c>
      <c r="B1324" s="2" t="str">
        <f>IFERROR(__xludf.DUMMYFUNCTION("GOOGLETRANSLATE(A1324, ""yo"", ""en"")"),"In it, Fubara and Wike have finished fighting, that is in June of this year, and they met with President Tinubu in Abuja.")</f>
        <v>In it, Fubara and Wike have finished fighting, that is in June of this year, and they met with President Tinubu in Abuja.</v>
      </c>
    </row>
    <row r="1325" ht="15.75" customHeight="1">
      <c r="A1325" s="2" t="s">
        <v>1357</v>
      </c>
      <c r="B1325" s="2" t="str">
        <f>IFERROR(__xludf.DUMMYFUNCTION("GOOGLETRANSLATE(A1325, ""yo"", ""en"")"),"Like father and son, Nyesom Wike and Siminalayi Fubara were before, it was not until the political issue caused trouble between them.")</f>
        <v>Like father and son, Nyesom Wike and Siminalayi Fubara were before, it was not until the political issue caused trouble between them.</v>
      </c>
    </row>
    <row r="1326" ht="15.75" customHeight="1">
      <c r="A1326" s="2" t="s">
        <v>953</v>
      </c>
      <c r="B1326" s="2" t="str">
        <f>IFERROR(__xludf.DUMMYFUNCTION("GOOGLETRANSLATE(A1326, ""yo"", ""en"")"),"Among the things that caused the conflict: The action of the legislators to depose the governor Fubara, which happened in October 2023.")</f>
        <v>Among the things that caused the conflict: The action of the legislators to depose the governor Fubara, which happened in October 2023.</v>
      </c>
    </row>
    <row r="1327" ht="15.75" customHeight="1">
      <c r="A1327" s="2" t="s">
        <v>954</v>
      </c>
      <c r="B1327" s="2" t="str">
        <f>IFERROR(__xludf.DUMMYFUNCTION("GOOGLETRANSLATE(A1327, ""yo"", ""en"")"),"Some are after Fubara, but many are already Wike who are after the division.")</f>
        <v>Some are after Fubara, but many are already Wike who are after the division.</v>
      </c>
    </row>
    <row r="1328" ht="15.75" customHeight="1">
      <c r="A1328" s="2" t="s">
        <v>955</v>
      </c>
      <c r="B1328" s="2" t="str">
        <f>IFERROR(__xludf.DUMMYFUNCTION("GOOGLETRANSLATE(A1328, ""yo"", ""en"")"),"They set fire to the Rivers State House of Assembly, they vandalized some sections there, and some people are leaving the PDP for the APC, even though they came back and said that they did not leave the party.")</f>
        <v>They set fire to the Rivers State House of Assembly, they vandalized some sections there, and some people are leaving the PDP for the APC, even though they came back and said that they did not leave the party.</v>
      </c>
    </row>
    <row r="1329" ht="15.75" customHeight="1">
      <c r="A1329" s="2" t="s">
        <v>1358</v>
      </c>
      <c r="B1329" s="2" t="str">
        <f>IFERROR(__xludf.DUMMYFUNCTION("GOOGLETRANSLATE(A1329, ""yo"", ""en"")"),"BBC News Yoruba news on your WhatsApp Join us at End of podcast promotion Lamidi Adedibu and Rasidi Ladoja In Oyo state, between the years 2003 and 2007, no one knows about the fight that broke out between the governor of Oyo at the time, Rasidi Ladoja an"&amp;"d the head of state politics, Lamidi Adedibu.")</f>
        <v>BBC News Yoruba news on your WhatsApp Join us at End of podcast promotion Lamidi Adedibu and Rasidi Ladoja In Oyo state, between the years 2003 and 2007, no one knows about the fight that broke out between the governor of Oyo at the time, Rasidi Ladoja and the head of state politics, Lamidi Adedibu.</v>
      </c>
    </row>
    <row r="1330" ht="15.75" customHeight="1">
      <c r="A1330" s="2" t="s">
        <v>1359</v>
      </c>
      <c r="B1330" s="2" t="str">
        <f>IFERROR(__xludf.DUMMYFUNCTION("GOOGLETRANSLATE(A1330, ""yo"", ""en"")"),"Love was the first thing that came between the two politicians, before the water was sealed, and they started fighting each other. Later, the parliament at that time asked Governor Rasidi Ladoja to hang in the house, and announced Adebayo Alao-Akala as th"&amp;"e governor.")</f>
        <v>Love was the first thing that came between the two politicians, before the water was sealed, and they started fighting each other. Later, the parliament at that time asked Governor Rasidi Ladoja to hang in the house, and announced Adebayo Alao-Akala as the governor.</v>
      </c>
    </row>
    <row r="1331" ht="15.75" customHeight="1">
      <c r="A1331" s="2" t="s">
        <v>1360</v>
      </c>
      <c r="B1331" s="2" t="str">
        <f>IFERROR(__xludf.DUMMYFUNCTION("GOOGLETRANSLATE(A1331, ""yo"", ""en"")"),"This incident reached the court, and Governor Ladoja was impeached.")</f>
        <v>This incident reached the court, and Governor Ladoja was impeached.</v>
      </c>
    </row>
    <row r="1332" ht="15.75" customHeight="1">
      <c r="A1332" s="2" t="s">
        <v>1361</v>
      </c>
      <c r="B1332" s="2" t="str">
        <f>IFERROR(__xludf.DUMMYFUNCTION("GOOGLETRANSLATE(A1132, ""yo"", ""en"")"),"While campaigning for the election, Mutharika promised to rebuild the country and restore public confidence in the government.")</f>
        <v>While campaigning for the election, Mutharika promised to rebuild the country and restore public confidence in the government.</v>
      </c>
    </row>
    <row r="1333" ht="15.75" customHeight="1">
      <c r="A1333" s="2" t="s">
        <v>1362</v>
      </c>
      <c r="B1333" s="2" t="str">
        <f>IFERROR(__xludf.DUMMYFUNCTION("GOOGLETRANSLATE(A1333, ""yo"", ""en"")"),"""Politicians, they know their own character, what happened between the two of them, would not have been resolved if Father was still alive, ""People intervened again, because they heard it from my brother Ladoja, they went and told my father who gave bir"&amp;"th to me, they heard about my father who gave birth to me, they went and told it to my brother Ladoja.")</f>
        <v>"Politicians, they know their own character, what happened between the two of them, would not have been resolved if Father was still alive, "People intervened again, because they heard it from my brother Ladoja, they went and told my father who gave birth to me, they heard about my father who gave birth to me, they went and told it to my brother Ladoja.</v>
      </c>
    </row>
    <row r="1334" ht="15.75" customHeight="1">
      <c r="A1334" s="2" t="s">
        <v>1363</v>
      </c>
      <c r="B1334" s="2" t="str">
        <f>IFERROR(__xludf.DUMMYFUNCTION("GOOGLETRANSLATE(A1334, ""yo"", ""en"")"),"Peter Obi and Willie Obiano Peter Obi and his governorship successor, Willie Obiano had a big relationship before the election but the issue was resolved after the election.")</f>
        <v>Peter Obi and Willie Obiano Peter Obi and his governorship successor, Willie Obiano had a big relationship before the election but the issue was resolved after the election.</v>
      </c>
    </row>
    <row r="1335" ht="15.75" customHeight="1">
      <c r="A1335" s="2" t="s">
        <v>1364</v>
      </c>
      <c r="B1335" s="2" t="str">
        <f>IFERROR(__xludf.DUMMYFUNCTION("GOOGLETRANSLATE(A1335, ""yo"", ""en"")"),"Obi and Obiano were classmates at Christ the King College, CKC, Onitsha.")</f>
        <v>Obi and Obiano were classmates at Christ the King College, CKC, Onitsha.</v>
      </c>
    </row>
    <row r="1336" ht="15.75" customHeight="1">
      <c r="A1336" s="2" t="s">
        <v>1365</v>
      </c>
      <c r="B1336" s="2" t="str">
        <f>IFERROR(__xludf.DUMMYFUNCTION("GOOGLETRANSLATE(A1336, ""yo"", ""en"")"),"This relationship between the two became two enemies after Obi left the APGA political party and joined the PDP political party.")</f>
        <v>This relationship between the two became two enemies after Obi left the APGA political party and joined the PDP political party.</v>
      </c>
    </row>
    <row r="1337" ht="15.75" customHeight="1">
      <c r="A1337" s="2" t="s">
        <v>1366</v>
      </c>
      <c r="B1337" s="2" t="str">
        <f>IFERROR(__xludf.DUMMYFUNCTION("GOOGLETRANSLATE(A1337, ""yo"", ""en"")"),"During the 2017 election, Obi promised that he would support Obiano's son.")</f>
        <v>During the 2017 election, Obi promised that he would support Obiano's son.</v>
      </c>
    </row>
    <row r="1338" ht="15.75" customHeight="1">
      <c r="A1338" s="2" t="s">
        <v>1367</v>
      </c>
      <c r="B1338" s="2" t="str">
        <f>IFERROR(__xludf.DUMMYFUNCTION("GOOGLETRANSLATE(A1338, ""yo"", ""en"")"),"""I will fight for this election system, I will fight for this election system with all my body, and I will see that the PDP political party wins the electoral system"" he said at the time.")</f>
        <v>"I will fight for this election system, I will fight for this election system with all my body, and I will see that the PDP political party wins the electoral system" he said at the time.</v>
      </c>
    </row>
    <row r="1339" ht="15.75" customHeight="1">
      <c r="A1339" s="2" t="s">
        <v>1368</v>
      </c>
      <c r="B1339" s="2" t="str">
        <f>IFERROR(__xludf.DUMMYFUNCTION("GOOGLETRANSLATE(A1339, ""yo"", ""en"")"),"Well, after that, Obi got involved with the candidate of the PDP political party, Oseloka Obaze.")</f>
        <v>Well, after that, Obi got involved with the candidate of the PDP political party, Oseloka Obaze.</v>
      </c>
    </row>
    <row r="1340" ht="15.75" customHeight="1">
      <c r="A1340" s="2" t="s">
        <v>1369</v>
      </c>
      <c r="B1340" s="2" t="str">
        <f>IFERROR(__xludf.DUMMYFUNCTION("GOOGLETRANSLATE(A1340, ""yo"", ""en"")"),"Kwankwaso and Ganduje Between the years 1999 to 2015, Rabiu Kwankwaso and Umar Ganduje were something that can be called grassroots.")</f>
        <v>Kwankwaso and Ganduje Between the years 1999 to 2015, Rabiu Kwankwaso and Umar Ganduje were something that can be called grassroots.</v>
      </c>
    </row>
    <row r="1341" ht="15.75" customHeight="1">
      <c r="A1341" s="2" t="s">
        <v>1370</v>
      </c>
      <c r="B1341" s="2" t="str">
        <f>IFERROR(__xludf.DUMMYFUNCTION("GOOGLETRANSLATE(A1341, ""yo"", ""en"")"),"In 2003, Ganduje was the deputy governor to Kwankwaso, and when they both lost the vote.")</f>
        <v>In 2003, Ganduje was the deputy governor to Kwankwaso, and when they both lost the vote.</v>
      </c>
    </row>
    <row r="1342" ht="15.75" customHeight="1">
      <c r="A1342" s="2" t="s">
        <v>1371</v>
      </c>
      <c r="B1342" s="2" t="str">
        <f>IFERROR(__xludf.DUMMYFUNCTION("GOOGLETRANSLATE(A1342, ""yo"", ""en"")"),"Kwankwaso became the minister for security under the Olusegun Obasanjo administration, and his deputy followed him to Abuja.")</f>
        <v>Kwankwaso became the minister for security under the Olusegun Obasanjo administration, and his deputy followed him to Abuja.</v>
      </c>
    </row>
    <row r="1343" ht="15.75" customHeight="1">
      <c r="A1343" s="2" t="s">
        <v>1372</v>
      </c>
      <c r="B1343" s="2" t="str">
        <f>IFERROR(__xludf.DUMMYFUNCTION("GOOGLETRANSLATE(A1343, ""yo"", ""en"")"),"When Kwankwaso returned in 2011, Ganduje also had his deputy, and it was not a surprise when APC gave Ganduje the ticket for the governorship in 2015 but the fight ended after the election.")</f>
        <v>When Kwankwaso returned in 2011, Ganduje also had his deputy, and it was not a surprise when APC gave Ganduje the ticket for the governorship in 2015 but the fight ended after the election.</v>
      </c>
    </row>
    <row r="1344" ht="15.75" customHeight="1">
      <c r="A1344" s="2" t="s">
        <v>1373</v>
      </c>
      <c r="B1344" s="2" t="str">
        <f>IFERROR(__xludf.DUMMYFUNCTION("GOOGLETRANSLATE(A1344, ""yo"", ""en"")"),"In the fight, the Emir of Kano, Sanusi Lamido lost his position as Emir, and Kwankwaso had to leave the APC political party.")</f>
        <v>In the fight, the Emir of Kano, Sanusi Lamido lost his position as Emir, and Kwankwaso had to leave the APC political party.</v>
      </c>
    </row>
    <row r="1345" ht="15.75" customHeight="1">
      <c r="A1345" s="2" t="s">
        <v>1374</v>
      </c>
      <c r="B1345" s="2" t="str">
        <f>IFERROR(__xludf.DUMMYFUNCTION("GOOGLETRANSLATE(A1345, ""yo"", ""en"")"),"Adams Oshiomhole and Godwin Obaseki Adams Oshiomhole made a big effort to see that Godwin Obaseki became the governor of Edo state after leaving the position of Governor after years.")</f>
        <v>Adams Oshiomhole and Godwin Obaseki Adams Oshiomhole made a big effort to see that Godwin Obaseki became the governor of Edo state after leaving the position of Governor after years.</v>
      </c>
    </row>
    <row r="1346" ht="15.75" customHeight="1">
      <c r="A1346" s="2" t="s">
        <v>1375</v>
      </c>
      <c r="B1346" s="2" t="str">
        <f>IFERROR(__xludf.DUMMYFUNCTION("GOOGLETRANSLATE(A1346, ""yo"", ""en"")"),"Obaseki worked under Oshiomhole as the chairman of the Edo State Economic Team.")</f>
        <v>Obaseki worked under Oshiomhole as the chairman of the Edo State Economic Team.</v>
      </c>
    </row>
    <row r="1347" ht="15.75" customHeight="1">
      <c r="A1347" s="2" t="s">
        <v>1376</v>
      </c>
      <c r="B1347" s="2" t="str">
        <f>IFERROR(__xludf.DUMMYFUNCTION("GOOGLETRANSLATE(A1347, ""yo"", ""en"")"),"With how they have done in a funny company but the fight that happened between them is beyond what we say.")</f>
        <v>With how they have done in a funny company but the fight that happened between them is beyond what we say.</v>
      </c>
    </row>
    <row r="1348" ht="15.75" customHeight="1">
      <c r="A1348" s="2" t="s">
        <v>1377</v>
      </c>
      <c r="B1348" s="2" t="str">
        <f>IFERROR(__xludf.DUMMYFUNCTION("GOOGLETRANSLATE(A1348, ""yo"", ""en"")"),"Oshiomole used his power as the chairman of the APC political party at the time to not give Obaseki a ticket to pick up the ballot box for the second time but Obaseki joined the PDP political party and won the election again.")</f>
        <v>Oshiomole used his power as the chairman of the APC political party at the time to not give Obaseki a ticket to pick up the ballot box for the second time but Obaseki joined the PDP political party and won the election again.</v>
      </c>
    </row>
    <row r="1349" ht="15.75" customHeight="1">
      <c r="A1349" s="2" t="s">
        <v>1378</v>
      </c>
      <c r="B1349" s="2" t="str">
        <f>IFERROR(__xludf.DUMMYFUNCTION("GOOGLETRANSLATE(A1349, ""yo"", ""en"")"),"Tinubu and Ambode In 2014, Akinwunmi Ambode carried the Lagos governorship ballot box in 2015, and the current Nigerian president, Bola Tinubu, gave him encouragement.")</f>
        <v>Tinubu and Ambode In 2014, Akinwunmi Ambode carried the Lagos governorship ballot box in 2015, and the current Nigerian president, Bola Tinubu, gave him encouragement.</v>
      </c>
    </row>
    <row r="1350" ht="15.75" customHeight="1">
      <c r="A1350" s="2" t="s">
        <v>1379</v>
      </c>
      <c r="B1350" s="2" t="str">
        <f>IFERROR(__xludf.DUMMYFUNCTION("GOOGLETRANSLATE(A1350, ""yo"", ""en"")"),"For about three years after the election, everything went peacefully between Tinubu and Ambode.")</f>
        <v>For about three years after the election, everything went peacefully between Tinubu and Ambode.</v>
      </c>
    </row>
    <row r="1351" ht="15.75" customHeight="1">
      <c r="A1351" s="2" t="s">
        <v>1380</v>
      </c>
      <c r="B1351" s="2" t="str">
        <f>IFERROR(__xludf.DUMMYFUNCTION("GOOGLETRANSLATE(A1351, ""yo"", ""en"")"),"A few weeks left for the local elections in the APC political party in Lagos state, this story comes back to Ambode.")</f>
        <v>A few weeks left for the local elections in the APC political party in Lagos state, this story comes back to Ambode.</v>
      </c>
    </row>
    <row r="1352" ht="15.75" customHeight="1">
      <c r="A1352" s="2" t="s">
        <v>1381</v>
      </c>
      <c r="B1352" s="2" t="str">
        <f>IFERROR(__xludf.DUMMYFUNCTION("GOOGLETRANSLATE(A1352, ""yo"", ""en"")"),"All his strength to fight back was wasted.")</f>
        <v>All his strength to fight back was wasted.</v>
      </c>
    </row>
    <row r="1353" ht="15.75" customHeight="1">
      <c r="A1353" s="2" t="s">
        <v>1382</v>
      </c>
      <c r="B1353" s="2" t="str">
        <f>IFERROR(__xludf.DUMMYFUNCTION("GOOGLETRANSLATE(A1353, ""yo"", ""en"")"),"Ambode relied on the matter, and lost the local election of the APC political party in Lagos state to Babajide Sanwo-Olu.")</f>
        <v>Ambode relied on the matter, and lost the local election of the APC political party in Lagos state to Babajide Sanwo-Olu.</v>
      </c>
    </row>
    <row r="1354" ht="15.75" customHeight="1">
      <c r="A1354" s="2" t="s">
        <v>1383</v>
      </c>
      <c r="B1354" s="2" t="str">
        <f>IFERROR(__xludf.DUMMYFUNCTION("GOOGLETRANSLATE(A1354, ""yo"", ""en"")"),"In a press release issued by the senior adviser to the president on media, Bayo Onanuga, signed for journalists, he said the president will spend ten days for the holiday, and will go from France to the United Kingdom.")</f>
        <v>In a press release issued by the senior adviser to the president on media, Bayo Onanuga, signed for journalists, he said the president will spend ten days for the holiday, and will go from France to the United Kingdom.</v>
      </c>
    </row>
    <row r="1355" ht="15.75" customHeight="1">
      <c r="A1355" s="2" t="s">
        <v>1384</v>
      </c>
      <c r="B1355" s="2" t="str">
        <f>IFERROR(__xludf.DUMMYFUNCTION("GOOGLETRANSLATE(A1355, ""yo"", ""en"")"),"""President Bola Ahmed Tinubu will leave Abuja on Wednesday, April, September 2025 for a vacation in Europe,"" he will spend ten days on this vacation.")</f>
        <v>"President Bola Ahmed Tinubu will leave Abuja on Wednesday, April, September 2025 for a vacation in Europe," he will spend ten days on this vacation.</v>
      </c>
    </row>
    <row r="1356" ht="15.75" customHeight="1">
      <c r="A1356" s="2" t="s">
        <v>1385</v>
      </c>
      <c r="B1356" s="2" t="str">
        <f>IFERROR(__xludf.DUMMYFUNCTION("GOOGLETRANSLATE(A1356, ""yo"", ""en"")"),"The president will spend this time in France and the UK before returning to Nigeria."" President Tinubu has been traveling a lot, and this is one of the trips he has been making since he came to office in May 2023.")</f>
        <v>The president will spend this time in France and the UK before returning to Nigeria." President Tinubu has been traveling a lot, and this is one of the trips he has been making since he came to office in May 2023.</v>
      </c>
    </row>
    <row r="1357" ht="15.75" customHeight="1">
      <c r="A1357" s="2" t="s">
        <v>1386</v>
      </c>
      <c r="B1357" s="2" t="str">
        <f>IFERROR(__xludf.DUMMYFUNCTION("GOOGLETRANSLATE(A1357, ""yo"", ""en"")"),"This ten-day holiday took place after the president first received one in October 2024.")</f>
        <v>This ten-day holiday took place after the president first received one in October 2024.</v>
      </c>
    </row>
    <row r="1358" ht="15.75" customHeight="1">
      <c r="A1358" s="2" t="s">
        <v>1387</v>
      </c>
      <c r="B1358" s="2" t="str">
        <f>IFERROR(__xludf.DUMMYFUNCTION("GOOGLETRANSLATE(A1358, ""yo"", ""en"")"),"According to Punch, within the first seventeen months that President Tinubu spent in office, he and his deputy made forty-one trips across twenty-six countries, and spent a total of 100 days at sea.")</f>
        <v>According to Punch, within the first seventeen months that President Tinubu spent in office, he and his deputy made forty-one trips across twenty-six countries, and spent a total of 100 days at sea.</v>
      </c>
    </row>
    <row r="1359" ht="15.75" customHeight="1">
      <c r="A1359" s="2" t="s">
        <v>1388</v>
      </c>
      <c r="B1359" s="2" t="str">
        <f>IFERROR(__xludf.DUMMYFUNCTION("GOOGLETRANSLATE(A1359, ""yo"", ""en"")"),"The latter went to Brazil in August 2025, where he went to meet President Luiz Inacio Lula da Sliva.")</f>
        <v>The latter went to Brazil in August 2025, where he went to meet President Luiz Inacio Lula da Sliva.</v>
      </c>
    </row>
    <row r="1360" ht="15.75" customHeight="1">
      <c r="A1360" s="2" t="s">
        <v>1389</v>
      </c>
      <c r="B1360" s="2" t="str">
        <f>IFERROR(__xludf.DUMMYFUNCTION("GOOGLETRANSLATE(A1360, ""yo"", ""en"")"),"President Tinubu has visited countries such as the United States, France, the United Kingdom, China, South Africa, Germany, Tanzania, and the United Arab Emirates.")</f>
        <v>President Tinubu has visited countries such as the United States, France, the United Kingdom, China, South Africa, Germany, Tanzania, and the United Arab Emirates.</v>
      </c>
    </row>
    <row r="1361" ht="15.75" customHeight="1">
      <c r="A1361" s="2" t="s">
        <v>1390</v>
      </c>
      <c r="B1361" s="2" t="str">
        <f>IFERROR(__xludf.DUMMYFUNCTION("GOOGLETRANSLATE(A1361, ""yo"", ""en"")"),"In January 2025, Tinubu went to meet African leaders in Dar es Salaam, Tanzania.")</f>
        <v>In January 2025, Tinubu went to meet African leaders in Dar es Salaam, Tanzania.</v>
      </c>
    </row>
    <row r="1362" ht="15.75" customHeight="1">
      <c r="A1362" s="2" t="s">
        <v>1391</v>
      </c>
      <c r="B1362" s="2" t="str">
        <f>IFERROR(__xludf.DUMMYFUNCTION("GOOGLETRANSLATE(A1362, ""yo"", ""en"")"),"In May 2025, he went to Rome, Italy, for the inauguration of Pope Leo XIV.")</f>
        <v>In May 2025, he went to Rome, Italy, for the inauguration of Pope Leo XIV.</v>
      </c>
    </row>
    <row r="1363" ht="15.75" customHeight="1">
      <c r="A1363" s="2" t="s">
        <v>1392</v>
      </c>
      <c r="B1363" s="2" t="str">
        <f>IFERROR(__xludf.DUMMYFUNCTION("GOOGLETRANSLATE(A1363, ""yo"", ""en"")"),"In June to July 2025, the president went to Saint Lucia for effective cooperation with Caribbean countries.")</f>
        <v>In June to July 2025, the president went to Saint Lucia for effective cooperation with Caribbean countries.</v>
      </c>
    </row>
    <row r="1364" ht="15.75" customHeight="1">
      <c r="A1364" s="2" t="s">
        <v>1393</v>
      </c>
      <c r="B1364" s="2" t="str">
        <f>IFERROR(__xludf.DUMMYFUNCTION("GOOGLETRANSLATE(A1364, ""yo"", ""en"")"),"Similarly, from June to July 2025, the President also left for Brazil for the effectiveness of the organization on the plant system.")</f>
        <v>Similarly, from June to July 2025, the President also left for Brazil for the effectiveness of the organization on the plant system.</v>
      </c>
    </row>
    <row r="1365" ht="15.75" customHeight="1">
      <c r="A1365" s="2" t="s">
        <v>1394</v>
      </c>
      <c r="B1365" s="2" t="str">
        <f>IFERROR(__xludf.DUMMYFUNCTION("GOOGLETRANSLATE(A1365, ""yo"", ""en"")"),"In August, the President attended the inauguration of President John Dramani Mahama in Ghana.")</f>
        <v>In August, the President attended the inauguration of President John Dramani Mahama in Ghana.</v>
      </c>
    </row>
    <row r="1366" ht="15.75" customHeight="1">
      <c r="A1366" s="2" t="s">
        <v>1395</v>
      </c>
      <c r="B1366" s="2" t="str">
        <f>IFERROR(__xludf.DUMMYFUNCTION("GOOGLETRANSLATE(A1366, ""yo"", ""en"")"),"In the same month of August, the President went to the UAE, and from there he went to Japan.")</f>
        <v>In the same month of August, the President went to the UAE, and from there he went to Japan.</v>
      </c>
    </row>
    <row r="1367" ht="15.75" customHeight="1">
      <c r="A1367" s="2" t="s">
        <v>1396</v>
      </c>
      <c r="B1367" s="2" t="str">
        <f>IFERROR(__xludf.DUMMYFUNCTION("GOOGLETRANSLATE(A1367, ""yo"", ""en"")"),"The president also returned to Brazil for the second term in August.")</f>
        <v>The president also returned to Brazil for the second term in August.</v>
      </c>
    </row>
    <row r="1368" ht="15.75" customHeight="1">
      <c r="A1368" s="2" t="s">
        <v>1397</v>
      </c>
      <c r="B1368" s="2" t="str">
        <f>IFERROR(__xludf.DUMMYFUNCTION("GOOGLETRANSLATE(A1368, ""yo"", ""en"")"),"Some Nigerians believe that President Bola Tinubu will soon become the president of Nigeria who travels more than other presidents who have been before.")</f>
        <v>Some Nigerians believe that President Bola Tinubu will soon become the president of Nigeria who travels more than other presidents who have been before.</v>
      </c>
    </row>
    <row r="1369" ht="15.75" customHeight="1">
      <c r="A1369" s="2" t="s">
        <v>1398</v>
      </c>
      <c r="B1369" s="2" t="str">
        <f>IFERROR(__xludf.DUMMYFUNCTION("GOOGLETRANSLATE(A1369, ""yo"", ""en"")"),"But read and look at the journeys of presidents like Goodluck Jonathan, the late Muhammadu Buhari and Olusegun Obasanjo.")</f>
        <v>But read and look at the journeys of presidents like Goodluck Jonathan, the late Muhammadu Buhari and Olusegun Obasanjo.</v>
      </c>
    </row>
    <row r="1370" ht="15.75" customHeight="1">
      <c r="A1370" s="2" t="s">
        <v>1399</v>
      </c>
      <c r="B1370" s="2" t="str">
        <f>IFERROR(__xludf.DUMMYFUNCTION("GOOGLETRANSLATE(A1370, ""yo"", ""en"")"),"Dailypost news agency, President Goodluck Jonathan travels well, and he has to promise that he will reduce.")</f>
        <v>Dailypost news agency, President Goodluck Jonathan travels well, and he has to promise that he will reduce.</v>
      </c>
    </row>
    <row r="1371" ht="15.75" customHeight="1">
      <c r="A1371" s="2" t="s">
        <v>1400</v>
      </c>
      <c r="B1371" s="2" t="str">
        <f>IFERROR(__xludf.DUMMYFUNCTION("GOOGLETRANSLATE(A1371, ""yo"", ""en"")"),"In their research, Goodluck Jonathan traveled at least twenty times within his first eleven months in 2012.")</f>
        <v>In their research, Goodluck Jonathan traveled at least twenty times within his first eleven months in 2012.</v>
      </c>
    </row>
    <row r="1372" ht="15.75" customHeight="1">
      <c r="A1372" s="2" t="s">
        <v>1401</v>
      </c>
      <c r="B1372" s="2" t="str">
        <f>IFERROR(__xludf.DUMMYFUNCTION("GOOGLETRANSLATE(A1372, ""yo"", ""en"")"),"During the administration of President Buhari, apart from trips for treatment, he traveled fifty-three times as of 2023.")</f>
        <v>During the administration of President Buhari, apart from trips for treatment, he traveled fifty-three times as of 2023.</v>
      </c>
    </row>
    <row r="1373" ht="15.75" customHeight="1">
      <c r="A1373" s="2" t="s">
        <v>1402</v>
      </c>
      <c r="B1373" s="2" t="str">
        <f>IFERROR(__xludf.DUMMYFUNCTION("GOOGLETRANSLATE(A1373, ""yo"", ""en"")"),"The former president of Nigeria, Olusegun Obasanjo served 97 times during his administration between 1999 and 2007.")</f>
        <v>The former president of Nigeria, Olusegun Obasanjo served 97 times during his administration between 1999 and 2007.</v>
      </c>
    </row>
    <row r="1374" ht="15.75" customHeight="1">
      <c r="A1374" s="2" t="s">
        <v>1403</v>
      </c>
      <c r="B1374" s="2" t="str">
        <f>IFERROR(__xludf.DUMMYFUNCTION("GOOGLETRANSLATE(A1374, ""yo"", ""en"")"),"The trial is taking place at the United High Court in Abuja.")</f>
        <v>The trial is taking place at the United High Court in Abuja.</v>
      </c>
    </row>
    <row r="1375" ht="15.75" customHeight="1">
      <c r="A1375" s="2" t="s">
        <v>1404</v>
      </c>
      <c r="B1375" s="2" t="str">
        <f>IFERROR(__xludf.DUMMYFUNCTION("GOOGLETRANSLATE(A1375, ""yo"", ""en"")"),"Senator Natasha representing Kogi state central in the Nigerian parliament is challenging Yahaya Bello and Akpabio on the allegation of cyber crime.")</f>
        <v>Senator Natasha representing Kogi state central in the Nigerian parliament is challenging Yahaya Bello and Akpabio on the allegation of cyber crime.</v>
      </c>
    </row>
    <row r="1376" ht="15.75" customHeight="1">
      <c r="A1376" s="2" t="s">
        <v>1405</v>
      </c>
      <c r="B1376" s="2" t="str">
        <f>IFERROR(__xludf.DUMMYFUNCTION("GOOGLETRANSLATE(A1376, ""yo"", ""en"")"),"As far as we can see in the court, Judge Natasha came to the court with her husband.")</f>
        <v>As far as we can see in the court, Judge Natasha came to the court with her husband.</v>
      </c>
    </row>
    <row r="1377" ht="15.75" customHeight="1">
      <c r="A1377" s="2" t="s">
        <v>1406</v>
      </c>
      <c r="B1377" s="2" t="str">
        <f>IFERROR(__xludf.DUMMYFUNCTION("GOOGLETRANSLATE(A1377, ""yo"", ""en"")"),"The Office of the Attorney General of Nigeria, OAGF and the prosecution agency are prosecuting the accused on six counts of corruption.")</f>
        <v>The Office of the Attorney General of Nigeria, OAGF and the prosecution agency are prosecuting the accused on six counts of corruption.</v>
      </c>
    </row>
    <row r="1378" ht="15.75" customHeight="1">
      <c r="A1378" s="2" t="s">
        <v>1407</v>
      </c>
      <c r="B1378" s="2" t="str">
        <f>IFERROR(__xludf.DUMMYFUNCTION("GOOGLETRANSLATE(A1378, ""yo"", ""en"")"),"On the allegation of personal harassment between Natasha, Bello and Akpabio, one of the accusations against Natasha is that she lied to the president of the court and the Governor yesterday which disturbed the peace of the city.")</f>
        <v>On the allegation of personal harassment between Natasha, Bello and Akpabio, one of the accusations against Natasha is that she lied to the president of the court and the Governor yesterday which disturbed the peace of the city.</v>
      </c>
    </row>
    <row r="1379" ht="15.75" customHeight="1">
      <c r="A1379" s="2" t="s">
        <v>1408</v>
      </c>
      <c r="B1379" s="2" t="str">
        <f>IFERROR(__xludf.DUMMYFUNCTION("GOOGLETRANSLATE(A1379, ""yo"", ""en"")"),"In June 2025, Natasha's lawyer told the court that she was not guilty of the three counts.")</f>
        <v>In June 2025, Natasha's lawyer told the court that she was not guilty of the three counts.</v>
      </c>
    </row>
    <row r="1380" ht="15.75" customHeight="1">
      <c r="A1380" s="2" t="s">
        <v>1409</v>
      </c>
      <c r="B1380" s="2" t="str">
        <f>IFERROR(__xludf.DUMMYFUNCTION("GOOGLETRANSLATE(A1380, ""yo"", ""en"")"),"The three allegations that the Nigerian attorney general's office has dismissed are that he lied to the Speaker of the House of Assembly that he was conspiring with the former Governor of Kogi State, Bello to assassinate him.")</f>
        <v>The three allegations that the Nigerian attorney general's office has dismissed are that he lied to the Speaker of the House of Assembly that he was conspiring with the former Governor of Kogi State, Bello to assassinate him.</v>
      </c>
    </row>
    <row r="1381" ht="15.75" customHeight="1">
      <c r="A1381" s="2" t="s">
        <v>1410</v>
      </c>
      <c r="B1381" s="2" t="str">
        <f>IFERROR(__xludf.DUMMYFUNCTION("GOOGLETRANSLATE(A1381, ""yo"", ""en"")"),"During the trial, the court granted Natasha bail with fifty million and one surety.")</f>
        <v>During the trial, the court granted Natasha bail with fifty million and one surety.</v>
      </c>
    </row>
    <row r="1382" ht="15.75" customHeight="1">
      <c r="A1382" s="2" t="s">
        <v>1411</v>
      </c>
      <c r="B1382" s="2" t="str">
        <f>IFERROR(__xludf.DUMMYFUNCTION("GOOGLETRANSLATE(A1382, ""yo"", ""en"")"),"Also in July, the High Court ordered that the Senator representing Kogi Central, Natasha Akpoti-Uduaghan, be returned to her duties after the legislature did not sit at home for six months.")</f>
        <v>Also in July, the High Court ordered that the Senator representing Kogi Central, Natasha Akpoti-Uduaghan, be returned to her duties after the legislature did not sit at home for six months.</v>
      </c>
    </row>
    <row r="1383" ht="15.75" customHeight="1">
      <c r="A1383" s="2" t="s">
        <v>1412</v>
      </c>
      <c r="B1383" s="2" t="str">
        <f>IFERROR(__xludf.DUMMYFUNCTION("GOOGLETRANSLATE(A1383, ""yo"", ""en"")"),"While delivering the sentence, Judge Binta Nyako said that the six months that they did not go to the house was too much for Nyako, according to section 14(2) of the law that says about the privileges of the legislators, the punishment given to the legisl"&amp;"ator was not right.")</f>
        <v>While delivering the sentence, Judge Binta Nyako said that the six months that they did not go to the house was too much for Nyako, according to section 14(2) of the law that says about the privileges of the legislators, the punishment given to the legislator was not right.</v>
      </c>
    </row>
    <row r="1384" ht="15.75" customHeight="1">
      <c r="A1384" s="2" t="s">
        <v>1413</v>
      </c>
      <c r="B1384" s="2" t="str">
        <f>IFERROR(__xludf.DUMMYFUNCTION("GOOGLETRANSLATE(A1384, ""yo"", ""en"")"),"In February 2025, a misunderstanding occurred in the Nigerian parliament, between the Speaker of the House, Senator Godswill Akpabio and Senator Natasha Akpoti-Uduaghan.")</f>
        <v>In February 2025, a misunderstanding occurred in the Nigerian parliament, between the Speaker of the House, Senator Godswill Akpabio and Senator Natasha Akpoti-Uduaghan.</v>
      </c>
    </row>
    <row r="1385" ht="15.75" customHeight="1">
      <c r="A1385" s="2" t="s">
        <v>1414</v>
      </c>
      <c r="B1385" s="2" t="str">
        <f>IFERROR(__xludf.DUMMYFUNCTION("GOOGLETRANSLATE(A1385, ""yo"", ""en"")"),"Akpabio ordered while the discussion was going on, that the disabled workers should carry her out after the woman refused to sit in the new seat they gave her, and uttered angry words.")</f>
        <v>Akpabio ordered while the discussion was going on, that the disabled workers should carry her out after the woman refused to sit in the new seat they gave her, and uttered angry words.</v>
      </c>
    </row>
    <row r="1386" ht="15.75" customHeight="1">
      <c r="A1386" s="2" t="s">
        <v>1189</v>
      </c>
      <c r="B1386" s="2" t="str">
        <f>IFERROR(__xludf.DUMMYFUNCTION("GOOGLETRANSLATE(A1386, ""yo"", ""en"")"),"He accused Akpabio of deliberately trying to silence him, and he wanted to take away the opportunity he had to intervene in the house discussion, from him.")</f>
        <v>He accused Akpabio of deliberately trying to silence him, and he wanted to take away the opportunity he had to intervene in the house discussion, from him.</v>
      </c>
    </row>
    <row r="1387" ht="15.75" customHeight="1">
      <c r="A1387" s="2" t="s">
        <v>1190</v>
      </c>
      <c r="B1387" s="2" t="str">
        <f>IFERROR(__xludf.DUMMYFUNCTION("GOOGLETRANSLATE(A1387, ""yo"", ""en"")"),"After all the controversy that took place that day, the parliament accused Natasha of violating the rules of the house, as well as refusing to sit in the place that was given to her.")</f>
        <v>After all the controversy that took place that day, the parliament accused Natasha of violating the rules of the house, as well as refusing to sit in the place that was given to her.</v>
      </c>
    </row>
    <row r="1388" ht="15.75" customHeight="1">
      <c r="A1388" s="2" t="s">
        <v>1191</v>
      </c>
      <c r="B1388" s="2" t="str">
        <f>IFERROR(__xludf.DUMMYFUNCTION("GOOGLETRANSLATE(A1388, ""yo"", ""en"")"),"The matter came before the committee that was reprimanding the legislators, but Natasha failed to appear before the committee.")</f>
        <v>The matter came before the committee that was reprimanding the legislators, but Natasha failed to appear before the committee.</v>
      </c>
    </row>
    <row r="1389" ht="15.75" customHeight="1">
      <c r="A1389" s="2" t="s">
        <v>1192</v>
      </c>
      <c r="B1389" s="2" t="str">
        <f>IFERROR(__xludf.DUMMYFUNCTION("GOOGLETRANSLATE(A1389, ""yo"", ""en"")"),"After that they announced that they have stopped him for six months.")</f>
        <v>After that they announced that they have stopped him for six months.</v>
      </c>
    </row>
    <row r="1390" ht="15.75" customHeight="1">
      <c r="A1390" s="2" t="s">
        <v>1193</v>
      </c>
      <c r="B1390" s="2" t="str">
        <f>IFERROR(__xludf.DUMMYFUNCTION("GOOGLETRANSLATE(A1390, ""yo"", ""en"")"),"The issue is back to the court, with both sides filing separate lawsuits over it.")</f>
        <v>The issue is back to the court, with both sides filing separate lawsuits over it.</v>
      </c>
    </row>
    <row r="1391" ht="15.75" customHeight="1">
      <c r="A1391" s="2" t="s">
        <v>1415</v>
      </c>
      <c r="B1391" s="2" t="str">
        <f>IFERROR(__xludf.DUMMYFUNCTION("GOOGLETRANSLATE(A1391, ""yo"", ""en"")"),"This is what the federal government, under the leadership of President Bola Tinubu, has explained to those who are moving around that this government is thinking of one side, another side, and that the Northern part of Nigeria has not seen much under this"&amp;" administration.")</f>
        <v>This is what the federal government, under the leadership of President Bola Tinubu, has explained to those who are moving around that this government is thinking of one side, another side, and that the Northern part of Nigeria has not seen much under this administration.</v>
      </c>
    </row>
    <row r="1392" ht="15.75" customHeight="1">
      <c r="A1392" s="2" t="s">
        <v>1416</v>
      </c>
      <c r="B1392" s="2" t="str">
        <f>IFERROR(__xludf.DUMMYFUNCTION("GOOGLETRANSLATE (A1392, ""yo"", ""en"")"),"On Sunday, the twenty-first day of August, a press release was issued by the office of the President of Nigeria, the Minister of Information and Alert, Mohammed Idris.")</f>
        <v>On Sunday, the twenty-first day of August, a press release was issued by the office of the President of Nigeria, the Minister of Information and Alert, Mohammed Idris.</v>
      </c>
    </row>
    <row r="1393" ht="15.75" customHeight="1">
      <c r="A1393" s="2" t="s">
        <v>1417</v>
      </c>
      <c r="B1393" s="2" t="str">
        <f>IFERROR(__xludf.DUMMYFUNCTION("GOOGLETRANSLATE(A1393, ""yo"", ""en"")"),"In the publication, they have explained that Tinubu is using transparency and fairness to do things for the six regions that Nigeria is divided into.")</f>
        <v>In the publication, they have explained that Tinubu is using transparency and fairness to do things for the six regions that Nigeria is divided into.</v>
      </c>
    </row>
    <row r="1394" ht="15.75" customHeight="1">
      <c r="A1394" s="2" t="s">
        <v>1418</v>
      </c>
      <c r="B1394" s="2" t="str">
        <f>IFERROR(__xludf.DUMMYFUNCTION("GOOGLETRANSLATE(A1394, ""yo"", ""en"")"),"They added that the inner truth and if a person is full, the rate is used to appoint people to government offices.")</f>
        <v>They added that the inner truth and if a person is full, the rate is used to appoint people to government offices.</v>
      </c>
    </row>
    <row r="1395" ht="15.75" customHeight="1">
      <c r="A1395" s="2" t="s">
        <v>1419</v>
      </c>
      <c r="B1395" s="2" t="str">
        <f>IFERROR(__xludf.DUMMYFUNCTION("GOOGLETRANSLATE(A1395, ""yo"", ""en"")"),"""As the road work is going on in the South, so is the Badagry-Sokoto road, which covers the northernmost part.")</f>
        <v>"As the road work is going on in the South, so is the Badagry-Sokoto road, which covers the northernmost part.</v>
      </c>
    </row>
    <row r="1396" ht="15.75" customHeight="1">
      <c r="A1396" s="2" t="s">
        <v>1420</v>
      </c>
      <c r="B1396" s="2" t="str">
        <f>IFERROR(__xludf.DUMMYFUNCTION("GOOGLETRANSLATE(A1396, ""yo"", ""en"")"),"""The government is using this same welfare sharing system for the humanitarian projects that are taking place in the Nigerian regions.")</f>
        <v>"The government is using this same welfare sharing system for the humanitarian projects that are taking place in the Nigerian regions.</v>
      </c>
    </row>
    <row r="1397" ht="15.75" customHeight="1">
      <c r="A1397" s="2" t="s">
        <v>1421</v>
      </c>
      <c r="B1397" s="2" t="str">
        <f>IFERROR(__xludf.DUMMYFUNCTION("GOOGLETRANSLATE(A1397, ""yo"", ""en"")"),"The Minister of Information continued in his statement, that about twenty billion naira (150b) has been set aside by the Tinubu government to build the Kano state railway.")</f>
        <v>The Minister of Information continued in his statement, that about twenty billion naira (150b) has been set aside by the Tinubu government to build the Kano state railway.</v>
      </c>
    </row>
    <row r="1398" ht="15.75" customHeight="1">
      <c r="A1398" s="2" t="s">
        <v>1422</v>
      </c>
      <c r="B1398" s="2" t="str">
        <f>IFERROR(__xludf.DUMMYFUNCTION("GOOGLETRANSLATE(A1398, ""yo"", ""en"")"),"He has one hundred billion (100bn) and they are about to make a similar one in Kaduna.")</f>
        <v>He has one hundred billion (100bn) and they are about to make a similar one in Kaduna.</v>
      </c>
    </row>
    <row r="1399" ht="15.75" customHeight="1">
      <c r="A1399" s="2" t="s">
        <v>1423</v>
      </c>
      <c r="B1399" s="2" t="str">
        <f>IFERROR(__xludf.DUMMYFUNCTION("GOOGLETRANSLATE(A1399, ""yo"", ""en"")"),"The kind that they are doing in Lagos state and the war is part of the work of Tinubu's government, which will take Nigeria to great heights, and there will be a thousand and fifty (250,000) jobs for people to do all over Nigeria.")</f>
        <v>The kind that they are doing in Lagos state and the war is part of the work of Tinubu's government, which will take Nigeria to great heights, and there will be a thousand and fifty (250,000) jobs for people to do all over Nigeria.</v>
      </c>
    </row>
    <row r="1400" ht="15.75" customHeight="1">
      <c r="A1400" s="2" t="s">
        <v>1424</v>
      </c>
      <c r="B1400" s="2" t="str">
        <f>IFERROR(__xludf.DUMMYFUNCTION("GOOGLETRANSLATE(A1400, ""yo"", ""en"")"),"""We are also planning to build the Eastern Nigerian railway from Port Harcourt to Maiduguri.")</f>
        <v>"We are also planning to build the Eastern Nigerian railway from Port Harcourt to Maiduguri.</v>
      </c>
    </row>
    <row r="1401" ht="15.75" customHeight="1">
      <c r="A1401" s="2" t="s">
        <v>1425</v>
      </c>
      <c r="B1401" s="2" t="str">
        <f>IFERROR(__xludf.DUMMYFUNCTION("GOOGLETRANSLATE(A1401, ""yo"", ""en"")"),"""Furthermore, there may be one thousand medium-sized hospitals that the administration of President Tinubu has set up across Nigeria, which shows that we do not care less about the health of the people."" Tinubu's office said that he is not confused at a"&amp;"ll, because the report shows that the North-West is seeing the most.")</f>
        <v>"Furthermore, there may be one thousand medium-sized hospitals that the administration of President Tinubu has set up across Nigeria, which shows that we do not care less about the health of the people." Tinubu's office said that he is not confused at all, because the report shows that the North-West is seeing the most.</v>
      </c>
    </row>
    <row r="1402" ht="15.75" customHeight="1">
      <c r="A1402" s="2" t="s">
        <v>1426</v>
      </c>
      <c r="B1402" s="2" t="str">
        <f>IFERROR(__xludf.DUMMYFUNCTION("GOOGLETRANSLATE(A1402, ""yo"", ""en"")"),"• North West (Ariwa-Iw-Oorun): ₦5.97 trillion (maybe 40 percent of the work going on there that the government has signed off on (over 40% of approvals)) • South South (South-South): ₦2.41 trillion.")</f>
        <v>• North West (Ariwa-Iw-Oorun): ₦5.97 trillion (maybe 40 percent of the work going on there that the government has signed off on (over 40% of approvals)) • South South (South-South): ₦2.41 trillion.</v>
      </c>
    </row>
    <row r="1403" ht="15.75" customHeight="1">
      <c r="A1403" s="2" t="s">
        <v>1427</v>
      </c>
      <c r="B1403" s="2" t="str">
        <f>IFERROR(__xludf.DUMMYFUNCTION("GOOGLETRANSLATE(A1403, ""yo"", ""en"")"),"Apart from the road and rail, this publication said that work has started on the construction of the 255MW power plant in Kaduna, the AKK fuel air station, and they are also building three oil wells in Kolmani, Bauchi and Gombe states.")</f>
        <v>Apart from the road and rail, this publication said that work has started on the construction of the 255MW power plant in Kaduna, the AKK fuel air station, and they are also building three oil wells in Kolmani, Bauchi and Gombe states.</v>
      </c>
    </row>
    <row r="1404" ht="15.75" customHeight="1">
      <c r="A1404" s="2" t="s">
        <v>1428</v>
      </c>
      <c r="B1404" s="2" t="str">
        <f>IFERROR(__xludf.DUMMYFUNCTION("GOOGLETRANSLATE(A1404, ""yo"", ""en"")"),"The policy of dividing the welfare is not the same as that of today's police that Tinubu is using, and Nigerians should be calm.")</f>
        <v>The policy of dividing the welfare is not the same as that of today's police that Tinubu is using, and Nigerians should be calm.</v>
      </c>
    </row>
    <row r="1405" ht="15.75" customHeight="1">
      <c r="A1405" s="2" t="s">
        <v>1429</v>
      </c>
      <c r="B1405" s="2" t="str">
        <f>IFERROR(__xludf.DUMMYFUNCTION("GOOGLETRANSLATE(A1405, ""yo"", ""en"")"),"There is no one in the office of the President who will not be involved in the development plan that Tinubu is making for Nigeria, they have the patience of the day.")</f>
        <v>There is no one in the office of the President who will not be involved in the development plan that Tinubu is making for Nigeria, they have the patience of the day.</v>
      </c>
    </row>
    <row r="1406" ht="15.75" customHeight="1">
      <c r="A1406" s="2" t="s">
        <v>1430</v>
      </c>
      <c r="B1406" s="2" t="str">
        <f>IFERROR(__xludf.DUMMYFUNCTION("GOOGLETRANSLATE(A1406, ""yo"", ""en"")"),"There are no fewer than twenty (20) local governments that the APC political party has now won in the local government elections held in Rivers state on Saturday, August 38, 2025.")</f>
        <v>There are no fewer than twenty (20) local governments that the APC political party has now won in the local government elections held in Rivers state on Saturday, August 38, 2025.</v>
      </c>
    </row>
    <row r="1407" ht="15.75" customHeight="1">
      <c r="A1407" s="2" t="s">
        <v>1431</v>
      </c>
      <c r="B1407" s="2" t="str">
        <f>IFERROR(__xludf.DUMMYFUNCTION("GOOGLETRANSLATE(A1407, ""yo"", ""en"")"),"The opposition political party that is the PDP has not managed more than three local governments.")</f>
        <v>The opposition political party that is the PDP has not managed more than three local governments.</v>
      </c>
    </row>
    <row r="1408" ht="15.75" customHeight="1">
      <c r="A1408" s="2" t="s">
        <v>1432</v>
      </c>
      <c r="B1408" s="2" t="str">
        <f>IFERROR(__xludf.DUMMYFUNCTION("GOOGLETRANSLATE(A1408, ""yo"", ""en"")"),"The local governments that the PDP won are Port Harcourt, Obio Akpor and Ogba/Egbema/Ndoni.")</f>
        <v>The local governments that the PDP won are Port Harcourt, Obio Akpor and Ogba/Egbema/Ndoni.</v>
      </c>
    </row>
    <row r="1409" ht="15.75" customHeight="1">
      <c r="A1409" s="2" t="s">
        <v>1433</v>
      </c>
      <c r="B1409" s="2" t="str">
        <f>IFERROR(__xludf.DUMMYFUNCTION("GOOGLETRANSLATE(A1409, ""yo"", ""en"")"),"This is the first time in the history of Rivers state, that the APC will take over all the communities like this.")</f>
        <v>This is the first time in the history of Rivers state, that the APC will take over all the communities like this.</v>
      </c>
    </row>
    <row r="1410" ht="15.75" customHeight="1">
      <c r="A1410" s="2" t="s">
        <v>1434</v>
      </c>
      <c r="B1410" s="2" t="str">
        <f>IFERROR(__xludf.DUMMYFUNCTION("GOOGLETRANSLATE(A1410, ""yo"", ""en"")"),"Similarly, the APC also canceled the election in the local government, they left only three for the PDP.")</f>
        <v>Similarly, the APC also canceled the election in the local government, they left only three for the PDP.</v>
      </c>
    </row>
    <row r="1411" ht="15.75" customHeight="1">
      <c r="A1411" s="2" t="s">
        <v>1435</v>
      </c>
      <c r="B1411" s="2" t="str">
        <f>IFERROR(__xludf.DUMMYFUNCTION("GOOGLETRANSLATE(A1411, ""yo"", ""en"")"),"Many people did not come out to vote, but the vote reassured them that the emergency government going on in Rivers will not end, after President Tinubu announced it on the 18th day of March 2025.")</f>
        <v>Many people did not come out to vote, but the vote reassured them that the emergency government going on in Rivers will not end, after President Tinubu announced it on the 18th day of March 2025.</v>
      </c>
    </row>
    <row r="1412" ht="15.75" customHeight="1">
      <c r="A1412" s="2" t="s">
        <v>1436</v>
      </c>
      <c r="B1412" s="2" t="str">
        <f>IFERROR(__xludf.DUMMYFUNCTION("GOOGLETRANSLATE(A1412, ""yo"", ""en"")"),"Admiral Ibas who conducted the election, visited polling stations such as Emohua Council Secretariat, Okporowo/Ogbakiri area, Igbu Ogbo village and Ogbunuabali town in Port Harcourt.")</f>
        <v>Admiral Ibas who conducted the election, visited polling stations such as Emohua Council Secretariat, Okporowo/Ogbakiri area, Igbu Ogbo village and Ogbunuabali town in Port Harcourt.</v>
      </c>
    </row>
    <row r="1413" ht="15.75" customHeight="1">
      <c r="A1413" s="2" t="s">
        <v>1437</v>
      </c>
      <c r="B1413" s="2" t="str">
        <f>IFERROR(__xludf.DUMMYFUNCTION("GOOGLETRANSLATE(A1413, ""yo"", ""en"")"),"He said: ""I am happy with what I saw today, the election went peacefully.")</f>
        <v>He said: "I am happy with what I saw today, the election went peacefully.</v>
      </c>
    </row>
    <row r="1414" ht="15.75" customHeight="1">
      <c r="A1414" s="2" t="s">
        <v>1438</v>
      </c>
      <c r="B1414" s="2" t="str">
        <f>IFERROR(__xludf.DUMMYFUNCTION("GOOGLETRANSLATE(A1414:A2067, ""yo"", ""en"")"),"Voters and election officials should do what they should."" BBC News Yoruba will be reporting the result of the election as it goes.")</f>
        <v>Voters and election officials should do what they should." BBC News Yoruba will be reporting the result of the election as it goes.</v>
      </c>
    </row>
    <row r="1415" ht="15.75" customHeight="1">
      <c r="A1415" s="2" t="s">
        <v>1439</v>
      </c>
      <c r="B1415" s="2" t="str">
        <f>IFERROR(__xludf.DUMMYFUNCTION("GOOGLETRANSLATE(A1415, ""yo"", ""en"")"),"One of the members of the Oyo state parliament representing Western Şaki electoral region, who is also a representative of the APC political party, Honorable Ibraheem Shittu first shouted out on Facebook saying that he was not there where the Oyo state pa"&amp;"rliament signed the 100 billion Naira grant to Governor Sheyi Makinde.")</f>
        <v>One of the members of the Oyo state parliament representing Western Şaki electoral region, who is also a representative of the APC political party, Honorable Ibraheem Shittu first shouted out on Facebook saying that he was not there where the Oyo state parliament signed the 100 billion Naira grant to Governor Sheyi Makinde.</v>
      </c>
    </row>
    <row r="1416" ht="15.75" customHeight="1">
      <c r="A1416" s="2" t="s">
        <v>1440</v>
      </c>
      <c r="B1416" s="2" t="str">
        <f>IFERROR(__xludf.DUMMYFUNCTION("GOOGLETRANSLATE(A1416, ""yo"", ""en"")"),"Shittu was very surprised at the move because the Oyo state parliament was on a six-week recess when he heard the news about the show.")</f>
        <v>Shittu was very surprised at the move because the Oyo state parliament was on a six-week recess when he heard the news about the show.</v>
      </c>
    </row>
    <row r="1417" ht="15.75" customHeight="1">
      <c r="A1417" s="2" t="s">
        <v>1441</v>
      </c>
      <c r="B1417" s="2" t="str">
        <f>IFERROR(__xludf.DUMMYFUNCTION("GOOGLETRANSLATE(A1417, ""yo"", ""en"")"),"He added that an emergency meeting was held by the leaders of the Oyo state parliament so that they could give Makinde the opportunity to borrow the money without informing the rest of the parliament.")</f>
        <v>He added that an emergency meeting was held by the leaders of the Oyo state parliament so that they could give Makinde the opportunity to borrow the money without informing the rest of the parliament.</v>
      </c>
    </row>
    <row r="1418" ht="15.75" customHeight="1">
      <c r="A1418" s="2" t="s">
        <v>1442</v>
      </c>
      <c r="B1418" s="2" t="str">
        <f>IFERROR(__xludf.DUMMYFUNCTION("GOOGLETRANSLATE(A1418, ""yo"", ""en"")"),"The question we are asking is, ""how come the Oyo state government still wants to borrow money when it is said that the increase has increased the amount of money that the federal government is giving it with five hundred times?"".")</f>
        <v>The question we are asking is, "how come the Oyo state government still wants to borrow money when it is said that the increase has increased the amount of money that the federal government is giving it with five hundred times?".</v>
      </c>
    </row>
    <row r="1419" ht="15.75" customHeight="1">
      <c r="A1419" s="2" t="s">
        <v>1443</v>
      </c>
      <c r="B1419" s="2" t="str">
        <f>IFERROR(__xludf.DUMMYFUNCTION("GOOGLETRANSLATE(A1419, ""yo"", ""en"")"),"After the speech that Honborebu Shittu posted on Facebook, there is a lot of criticism on the speech.")</f>
        <v>After the speech that Honborebu Shittu posted on Facebook, there is a lot of criticism on the speech.</v>
      </c>
    </row>
    <row r="1420" ht="15.75" customHeight="1">
      <c r="A1420" s="2" t="s">
        <v>1444</v>
      </c>
      <c r="B1420" s="2" t="str">
        <f>IFERROR(__xludf.DUMMYFUNCTION("GOOGLETRANSLATE(A1420, ""yo"", ""en"")"),"BBC News Yoruba news on your WhatsApp Join us where End of podcast promotion This caused the Oyo State House of Assembly to respond in a press release by the leader of the majority of political members in the House of Assembly, Hon.")</f>
        <v>BBC News Yoruba news on your WhatsApp Join us where End of podcast promotion This caused the Oyo State House of Assembly to respond in a press release by the leader of the majority of political members in the House of Assembly, Hon.</v>
      </c>
    </row>
    <row r="1421" ht="15.75" customHeight="1">
      <c r="A1421" s="2" t="s">
        <v>1445</v>
      </c>
      <c r="B1421" s="2" t="str">
        <f>IFERROR(__xludf.DUMMYFUNCTION("GOOGLETRANSLATE(A1421, ""yo"", ""en"")"),"Sanjo Adedoyin and the chairman of the house committee that deals with publicity, news and matters related to modern technology, Hon.")</f>
        <v>Sanjo Adedoyin and the chairman of the house committee that deals with publicity, news and matters related to modern technology, Hon.</v>
      </c>
    </row>
    <row r="1422" ht="15.75" customHeight="1">
      <c r="A1422" s="2" t="s">
        <v>1446</v>
      </c>
      <c r="B1422" s="2" t="str">
        <f>IFERROR(__xludf.DUMMYFUNCTION("GOOGLETRANSLATE(A1422, ""yo"", ""en"")"),"Waheed Akintayo (Ilumoka) signed it and sent it to journalists.")</f>
        <v>Waheed Akintayo (Ilumoka) signed it and sent it to journalists.</v>
      </c>
    </row>
    <row r="1423" ht="15.75" customHeight="1">
      <c r="A1423" s="2" t="s">
        <v>1447</v>
      </c>
      <c r="B1423" s="2" t="str">
        <f>IFERROR(__xludf.DUMMYFUNCTION("GOOGLETRANSLATE(A1423, ""yo"", ""en"")"),"The publication pointed out that the statement made by Honoreb Shittu is misleading and also shows that the Honoreb does not know his responsibility.")</f>
        <v>The publication pointed out that the statement made by Honoreb Shittu is misleading and also shows that the Honoreb does not know his responsibility.</v>
      </c>
    </row>
    <row r="1424" ht="15.75" customHeight="1">
      <c r="A1424" s="2" t="s">
        <v>1448</v>
      </c>
      <c r="B1424" s="2" t="str">
        <f>IFERROR(__xludf.DUMMYFUNCTION("GOOGLETRANSLATE(A1424, ""yo"", ""en"")"),"Likewise, they further said that all members of the parliament were told that an emergency meeting will be held on Victory Day, the nineteenth of August this year.")</f>
        <v>Likewise, they further said that all members of the parliament were told that an emergency meeting will be held on Victory Day, the nineteenth of August this year.</v>
      </c>
    </row>
    <row r="1425" ht="15.75" customHeight="1">
      <c r="A1425" s="2" t="s">
        <v>1449</v>
      </c>
      <c r="B1425" s="2" t="str">
        <f>IFERROR(__xludf.DUMMYFUNCTION("GOOGLETRANSLATE(A1416, ""yo"", ""en"")"),"Shittu was very surprised at the move because the Oyo state parliament was on a six-week recess when he heard the news about the show.")</f>
        <v>Shittu was very surprised at the move because the Oyo state parliament was on a six-week recess when he heard the news about the show.</v>
      </c>
    </row>
    <row r="1426" ht="15.75" customHeight="1">
      <c r="A1426" s="2" t="s">
        <v>1450</v>
      </c>
      <c r="B1426" s="2" t="str">
        <f>IFERROR(__xludf.DUMMYFUNCTION("GOOGLETRANSLATE(A1426, ""yo"", ""en"")"),"Similarly, they took a photo of the poster that they sent to the members of the Oyo state parliament on the meeting.")</f>
        <v>Similarly, they took a photo of the poster that they sent to the members of the Oyo state parliament on the meeting.</v>
      </c>
    </row>
    <row r="1427" ht="15.75" customHeight="1">
      <c r="A1427" s="2" t="s">
        <v>1451</v>
      </c>
      <c r="B1427" s="2" t="str">
        <f>IFERROR(__xludf.DUMMYFUNCTION("GOOGLETRANSLATE(A1427, ""yo"", ""en"")"),"The Oyo State House of Assembly also explained further that Speaker Shittu who is making this accusation does not usually participate in the meetings that the House of Assembly calls with the information that only twenty percent of the time he participate"&amp;"s in the Oyo State House of Assembly meetings.")</f>
        <v>The Oyo State House of Assembly also explained further that Speaker Shittu who is making this accusation does not usually participate in the meetings that the House of Assembly calls with the information that only twenty percent of the time he participates in the Oyo State House of Assembly meetings.</v>
      </c>
    </row>
    <row r="1428" ht="15.75" customHeight="1">
      <c r="A1428" s="2" t="s">
        <v>1452</v>
      </c>
      <c r="B1428" s="2" t="str">
        <f>IFERROR(__xludf.DUMMYFUNCTION("GOOGLETRANSLATE(A1428, ""yo"", ""en"")"),"They have a big problem in the absence of him doing his job and not dealing with the people of Şaki who are representing in the parliament.")</f>
        <v>They have a big problem in the absence of him doing his job and not dealing with the people of Şaki who are representing in the parliament.</v>
      </c>
    </row>
    <row r="1429" ht="15.75" customHeight="1">
      <c r="A1429" s="2" t="s">
        <v>1453</v>
      </c>
      <c r="B1429" s="2" t="str">
        <f>IFERROR(__xludf.DUMMYFUNCTION("GOOGLETRANSLATE(A1429, ""yo"", ""en"")"),"The statement made by the Oyo state parliament in the press they sent is that nineteen billion Naira (N149Bn) is being paid by the Oyo state government to UBA (United Bank for Africa).")</f>
        <v>The statement made by the Oyo state parliament in the press they sent is that nineteen billion Naira (N149Bn) is being paid by the Oyo state government to UBA (United Bank for Africa).</v>
      </c>
    </row>
    <row r="1430" ht="15.75" customHeight="1">
      <c r="A1430" s="2" t="s">
        <v>1454</v>
      </c>
      <c r="B1430" s="2" t="str">
        <f>IFERROR(__xludf.DUMMYFUNCTION("GOOGLETRANSLATE(A1430, ""yo"", ""en"")"),"The remaining eleven billion (N151Bn) will be used for the provision of infrastructure and to pay wages to contractors employed by the Oyo state government throughout Oyo state.")</f>
        <v>The remaining eleven billion (N151Bn) will be used for the provision of infrastructure and to pay wages to contractors employed by the Oyo state government throughout Oyo state.</v>
      </c>
    </row>
    <row r="1431" ht="15.75" customHeight="1">
      <c r="A1431" s="2" t="s">
        <v>1455</v>
      </c>
      <c r="B1431" s="2" t="str">
        <f>IFERROR(__xludf.DUMMYFUNCTION("GOOGLETRANSLATE(A1431, ""yo"", ""en"")"),"In the month of August 2021, the parliament signed the six billion Naira(N6Bn) bill that Governor Makinde agreed to carry out public works projects.")</f>
        <v>In the month of August 2021, the parliament signed the six billion Naira(N6Bn) bill that Governor Makinde agreed to carry out public works projects.</v>
      </c>
    </row>
    <row r="1432" ht="15.75" customHeight="1">
      <c r="A1432" s="2" t="s">
        <v>1456</v>
      </c>
      <c r="B1432" s="2" t="str">
        <f>IFERROR(__xludf.DUMMYFUNCTION("GOOGLETRANSLATE(A1432, ""yo"", ""en"")"),"In October 2021, Makinde borrowed another eighteen billion Naira.")</f>
        <v>In October 2021, Makinde borrowed another eighteen billion Naira.</v>
      </c>
    </row>
    <row r="1433" ht="15.75" customHeight="1">
      <c r="A1433" s="2" t="s">
        <v>1457</v>
      </c>
      <c r="B1433" s="2" t="str">
        <f>IFERROR(__xludf.DUMMYFUNCTION("GOOGLETRANSLATE(A1433, ""yo"", ""en"")"),"The Oyo State House of Assembly also signed a one billion Naira (N150Bn) grant for Governor Makinde in January 2024.")</f>
        <v>The Oyo State House of Assembly also signed a one billion Naira (N150Bn) grant for Governor Makinde in January 2024.</v>
      </c>
    </row>
    <row r="1434" ht="15.75" customHeight="1">
      <c r="A1434" s="2" t="s">
        <v>1458</v>
      </c>
      <c r="B1434" s="2" t="str">
        <f>IFERROR(__xludf.DUMMYFUNCTION("GOOGLETRANSLATE(A1434, ""yo"", ""en"")"),"Within this year 2025, the Oyo state parliament has signed the bill of two billion Naira (N200Bn) in the month of March, they also stamped the bill of half a billion Naira (N110Bn) in the month of July, before they called an emergency meeting to sign the "&amp;"bill of one hundred billion Naira (N300Bn) in the eighth month of this year.")</f>
        <v>Within this year 2025, the Oyo state parliament has signed the bill of two billion Naira (N200Bn) in the month of March, they also stamped the bill of half a billion Naira (N110Bn) in the month of July, before they called an emergency meeting to sign the bill of one hundred billion Naira (N300Bn) in the eighth month of this year.</v>
      </c>
    </row>
    <row r="1435" ht="15.75" customHeight="1">
      <c r="A1435" s="2" t="s">
        <v>1459</v>
      </c>
      <c r="B1435" s="2" t="str">
        <f>IFERROR(__xludf.DUMMYFUNCTION("GOOGLETRANSLATE(A1435, ""yo"", ""en"")"),"The market has many businessmen from Northern Nigeria, saying that there are hundreds of billions of naira in the market.")</f>
        <v>The market has many businessmen from Northern Nigeria, saying that there are hundreds of billions of naira in the market.</v>
      </c>
    </row>
    <row r="1436" ht="15.75" customHeight="1">
      <c r="A1436" s="2" t="s">
        <v>1460</v>
      </c>
      <c r="B1436" s="2" t="str">
        <f>IFERROR(__xludf.DUMMYFUNCTION("GOOGLETRANSLATE(A1436, ""yo"", ""en"")"),"The traders also accused some of them of colluding with the Lagos government to look at the market after they had first agreed to cooperate with the government for the reform of the market.")</f>
        <v>The traders also accused some of them of colluding with the Lagos government to look at the market after they had first agreed to cooperate with the government for the reform of the market.</v>
      </c>
    </row>
    <row r="1437" ht="15.75" customHeight="1">
      <c r="A1437" s="2" t="s">
        <v>1461</v>
      </c>
      <c r="B1437" s="2" t="str">
        <f>IFERROR(__xludf.DUMMYFUNCTION("GOOGLETRANSLATE(A1437, ""yo"", ""en"")"),"They say the Lagos government must pay compensation for those who go and make money in my area.")</f>
        <v>They say the Lagos government must pay compensation for those who go and make money in my area.</v>
      </c>
    </row>
    <row r="1438" ht="15.75" customHeight="1">
      <c r="A1438" s="2" t="s">
        <v>1462</v>
      </c>
      <c r="B1438" s="2" t="str">
        <f>IFERROR(__xludf.DUMMYFUNCTION("GOOGLETRANSLATE(A1438, ""yo"", ""en"")"),"According to what they said, they didn't violate the government and they didn't want to commit any crime until the proper government started looking at the market, so you have to let those involved, sorry.")</f>
        <v>According to what they said, they didn't violate the government and they didn't want to commit any crime until the proper government started looking at the market, so you have to let those involved, sorry.</v>
      </c>
    </row>
    <row r="1439" ht="15.75" customHeight="1">
      <c r="A1439" s="2" t="s">
        <v>1463</v>
      </c>
      <c r="B1439" s="2" t="str">
        <f>IFERROR(__xludf.DUMMYFUNCTION("GOOGLETRANSLATE(A1439, ""yo"", ""en"")"),"""Every place where we sell things like rice, beans, corn and other things they look at.")</f>
        <v>"Every place where we sell things like rice, beans, corn and other things they look at.</v>
      </c>
    </row>
    <row r="1440" ht="15.75" customHeight="1">
      <c r="A1440" s="2" t="s">
        <v>1464</v>
      </c>
      <c r="B1440" s="2" t="str">
        <f>IFERROR(__xludf.DUMMYFUNCTION("GOOGLETRANSLATE(A1440, ""yo"", ""en"")"),"""They looked at the three-story house where we were loading the goods, and they saw my two-story house.")</f>
        <v>"They looked at the three-story house where we were loading the goods, and they saw my two-story house.</v>
      </c>
    </row>
    <row r="1441" ht="15.75" customHeight="1">
      <c r="A1441" s="2" t="s">
        <v>1465</v>
      </c>
      <c r="B1441" s="2" t="str">
        <f>IFERROR(__xludf.DUMMYFUNCTION("GOOGLETRANSLATE(A1441, ""yo"", ""en"")"),"""We ask for our rights because we are not guests here, we and our parents have been living here for fifty years."" One of the people affected by the issue, Bala Kofar Sabuwa, said that the government called the poor people living on the side of the road "&amp;"and looked at their shops.")</f>
        <v>"We ask for our rights because we are not guests here, we and our parents have been living here for fifty years." One of the people affected by the issue, Bala Kofar Sabuwa, said that the government called the poor people living on the side of the road and looked at their shops.</v>
      </c>
    </row>
    <row r="1442" ht="15.75" customHeight="1">
      <c r="A1442" s="2" t="s">
        <v>1466</v>
      </c>
      <c r="B1442" s="2" t="str">
        <f>IFERROR(__xludf.DUMMYFUNCTION("GOOGLETRANSLATE(A1442, ""yo"", ""en"")"),"Sabuwa explained that ""This issue has created a conflict here, the colonists have invaded our people's shops and are stealing products from there due to the government's actions."" On the seventeenth day of August, 2025, the Lagos government started look"&amp;"ing at the Alaba Rago market until midnight of the same month.")</f>
        <v>Sabuwa explained that "This issue has created a conflict here, the colonists have invaded our people's shops and are stealing products from there due to the government's actions." On the seventeenth day of August, 2025, the Lagos government started looking at the Alaba Rago market until midnight of the same month.</v>
      </c>
    </row>
    <row r="1443" ht="15.75" customHeight="1">
      <c r="A1443" s="2" t="s">
        <v>1467</v>
      </c>
      <c r="B1443" s="2" t="str">
        <f>IFERROR(__xludf.DUMMYFUNCTION("GOOGLETRANSLATE(A1443, ""yo"", ""en"")"),"Since last year the Lagos government has wanted to look at the market but the Hausa leader in the state, Aminu Yaro Dogara intervened.")</f>
        <v>Since last year the Lagos government has wanted to look at the market but the Hausa leader in the state, Aminu Yaro Dogara intervened.</v>
      </c>
    </row>
    <row r="1444" ht="15.75" customHeight="1">
      <c r="A1444" s="2" t="s">
        <v>1468</v>
      </c>
      <c r="B1444" s="2" t="str">
        <f>IFERROR(__xludf.DUMMYFUNCTION("GOOGLETRANSLATE(A1444, ""yo"", ""en"")"),"The market is one of the main ones selling food and pet products from northern Nigeria.")</f>
        <v>The market is one of the main ones selling food and pet products from northern Nigeria.</v>
      </c>
    </row>
    <row r="1445" ht="15.75" customHeight="1">
      <c r="A1445" s="2" t="s">
        <v>1469</v>
      </c>
      <c r="B1445" s="2" t="str">
        <f>IFERROR(__xludf.DUMMYFUNCTION("GOOGLETRANSLATE(A1445, ""yo"", ""en"")"),"The Lagos government has admitted that the market has not taken steps to rebuild it and it cannot keep up with the times.")</f>
        <v>The Lagos government has admitted that the market has not taken steps to rebuild it and it cannot keep up with the times.</v>
      </c>
    </row>
    <row r="1446" ht="15.75" customHeight="1">
      <c r="A1446" s="2" t="s">
        <v>1470</v>
      </c>
      <c r="B1446" s="2" t="str">
        <f>IFERROR(__xludf.DUMMYFUNCTION("GOOGLETRANSLATE(A1446, ""yo"", ""en"")"),"The PDP, which is the opposition party in Nigeria, announced this at the meeting of the executive committee of the party, NEC, held in Abuja on the 25th of August.")</f>
        <v>The PDP, which is the opposition party in Nigeria, announced this at the meeting of the executive committee of the party, NEC, held in Abuja on the 25th of August.</v>
      </c>
    </row>
    <row r="1447" ht="15.75" customHeight="1">
      <c r="A1447" s="2" t="s">
        <v>1471</v>
      </c>
      <c r="B1447" s="2" t="str">
        <f>IFERROR(__xludf.DUMMYFUNCTION("GOOGLETRANSLATE(A1447, ""yo"", ""en"")"),"At this same meeting, which was held for the 92nd time of its kind, the group also announced Umar Iliya Damagum as the chairman of the group.")</f>
        <v>At this same meeting, which was held for the 92nd time of its kind, the group also announced Umar Iliya Damagum as the chairman of the group.</v>
      </c>
    </row>
    <row r="1448" ht="15.75" customHeight="1">
      <c r="A1448" s="2" t="s">
        <v>1472</v>
      </c>
      <c r="B1448" s="2" t="str">
        <f>IFERROR(__xludf.DUMMYFUNCTION("GOOGLETRANSLATE(A1448, ""yo"", ""en"")"),"Mr. Damagum, who has been the interim chairman for about a year now, has become the chairman of all the houses before the PDP party's big meeting that will be held in Ibadan, Oyo state, on the 15th and 16th of November this year.")</f>
        <v>Mr. Damagum, who has been the interim chairman for about a year now, has become the chairman of all the houses before the PDP party's big meeting that will be held in Ibadan, Oyo state, on the 15th and 16th of November this year.</v>
      </c>
    </row>
    <row r="1449" ht="15.75" customHeight="1">
      <c r="A1449" s="2" t="s">
        <v>1473</v>
      </c>
      <c r="B1449" s="2" t="str">
        <f>IFERROR(__xludf.DUMMYFUNCTION("GOOGLETRANSLATE(A1449, ""yo"", ""en"")"),"The PDP stated in a press release that since the position of the president has gone to the northern region, the southern region will be the presidential candidate for the 2027 election system.")</f>
        <v>The PDP stated in a press release that since the position of the president has gone to the northern region, the southern region will be the presidential candidate for the 2027 election system.</v>
      </c>
    </row>
    <row r="1450" ht="15.75" customHeight="1">
      <c r="A1450" s="2" t="s">
        <v>1474</v>
      </c>
      <c r="B1450" s="2" t="str">
        <f>IFERROR(__xludf.DUMMYFUNCTION("GOOGLETRANSLATE(A1450, ""yo"", ""en"")"),"The PDP executive committee thanked the board of governors, the executive committee, the members of the senior parliament in Abuja and all members for their efforts to see that the NEC meeting held in Abuja on Business Day was successful.")</f>
        <v>The PDP executive committee thanked the board of governors, the executive committee, the members of the senior parliament in Abuja and all members for their efforts to see that the NEC meeting held in Abuja on Business Day was successful.</v>
      </c>
    </row>
    <row r="1451" ht="15.75" customHeight="1">
      <c r="A1451" s="2" t="s">
        <v>1475</v>
      </c>
      <c r="B1451" s="2" t="str">
        <f>IFERROR(__xludf.DUMMYFUNCTION("GOOGLETRANSLATE(A1451, ""yo"", ""en"")"),"PDP also received the committee that is working on how the meeting of the party that will be held next November will be conducted in a row.")</f>
        <v>PDP also received the committee that is working on how the meeting of the party that will be held next November will be conducted in a row.</v>
      </c>
    </row>
    <row r="1452" ht="15.75" customHeight="1">
      <c r="A1452" s="2" t="s">
        <v>1476</v>
      </c>
      <c r="B1452" s="2" t="str">
        <f>IFERROR(__xludf.DUMMYFUNCTION("GOOGLETRANSLATE(A1452, ""yo"", ""en"")"),"My point is that the PDP political party, all party leaders from the north to the south will continue with their position.")</f>
        <v>My point is that the PDP political party, all party leaders from the north to the south will continue with their position.</v>
      </c>
    </row>
    <row r="1453" ht="15.75" customHeight="1">
      <c r="A1453" s="2" t="s">
        <v>1477</v>
      </c>
      <c r="B1453" s="2" t="str">
        <f>IFERROR(__xludf.DUMMYFUNCTION("GOOGLETRANSLATE(A1453, ""yo"", ""en"")"),"The PDP has not accused the APC political party that is in power saying that they want to turn Nigeria into a political ally.")</f>
        <v>The PDP has not accused the APC political party that is in power saying that they want to turn Nigeria into a political ally.</v>
      </c>
    </row>
    <row r="1454" ht="15.75" customHeight="1">
      <c r="A1454" s="2" t="s">
        <v>1478</v>
      </c>
      <c r="B1454" s="2" t="str">
        <f>IFERROR(__xludf.DUMMYFUNCTION("GOOGLETRANSLATE(A1454, ""yo"", ""en"")"),"This is the result of the PDP where the re-election was held across Nigeria recently.")</f>
        <v>This is the result of the PDP where the re-election was held across Nigeria recently.</v>
      </c>
    </row>
    <row r="1455" ht="15.75" customHeight="1">
      <c r="A1455" s="2" t="s">
        <v>1479</v>
      </c>
      <c r="B1455" s="2" t="str">
        <f>IFERROR(__xludf.DUMMYFUNCTION("GOOGLETRANSLATE(A1455, ""yo"", ""en"")"),"The PDP political party in every step that the APC is taking opposes the system of Awarawa governance.")</f>
        <v>The PDP political party in every step that the APC is taking opposes the system of Awarawa governance.</v>
      </c>
    </row>
    <row r="1456" ht="15.75" customHeight="1">
      <c r="A1456" s="2" t="s">
        <v>1480</v>
      </c>
      <c r="B1456" s="2" t="str">
        <f>IFERROR(__xludf.DUMMYFUNCTION("GOOGLETRANSLATE(A1456, ""yo"", ""en"")"),"BBC News Yoruba news on your WhatsApp Join us at End of podcast promotion Controversy has arisen in Nigerian politics over the issue of where the presidential candidate will be for the 2027 election.")</f>
        <v>BBC News Yoruba news on your WhatsApp Join us at End of podcast promotion Controversy has arisen in Nigerian politics over the issue of where the presidential candidate will be for the 2027 election.</v>
      </c>
    </row>
    <row r="1457" ht="15.75" customHeight="1">
      <c r="A1457" s="2" t="s">
        <v>1481</v>
      </c>
      <c r="B1457" s="2" t="str">
        <f>IFERROR(__xludf.DUMMYFUNCTION("GOOGLETRANSLATE(A1457, ""yo"", ""en"")"),"Currently, the southern region is where President Bola Tinubu is currently on the left.")</f>
        <v>Currently, the southern region is where President Bola Tinubu is currently on the left.</v>
      </c>
    </row>
    <row r="1458" ht="15.75" customHeight="1">
      <c r="A1458" s="2" t="s">
        <v>1482</v>
      </c>
      <c r="B1458" s="2" t="str">
        <f>IFERROR(__xludf.DUMMYFUNCTION("GOOGLETRANSLATE(A1458, ""yo"", ""en"")"),"Likewise, the APC which is the presidential political party has nominated him as the presidential candidate for the 2027 presidential election.")</f>
        <v>Likewise, the APC which is the presidential political party has nominated him as the presidential candidate for the 2027 presidential election.</v>
      </c>
    </row>
    <row r="1459" ht="15.75" customHeight="1">
      <c r="A1459" s="2" t="s">
        <v>1483</v>
      </c>
      <c r="B1459" s="2" t="str">
        <f>IFERROR(__xludf.DUMMYFUNCTION("GOOGLETRANSLATE(A1459, ""yo"", ""en"")"),"If you forget, there was confusion when the PDP announced the former Vice President, Atiku Abubakar, as the party's presidential candidate for the 2023 presidential election.")</f>
        <v>If you forget, there was confusion when the PDP announced the former Vice President, Atiku Abubakar, as the party's presidential candidate for the 2023 presidential election.</v>
      </c>
    </row>
    <row r="1460" ht="15.75" customHeight="1">
      <c r="A1460" s="2" t="s">
        <v>1484</v>
      </c>
      <c r="B1460" s="2" t="str">
        <f>IFERROR(__xludf.DUMMYFUNCTION("GOOGLETRANSLATE(A1460, ""yo"", ""en"")"),"The move did not please the then Governor of Rivers state, Nyesom Wike, and this made him announce his support for Tinubu in the 2023 presidential election.")</f>
        <v>The move did not please the then Governor of Rivers state, Nyesom Wike, and this made him announce his support for Tinubu in the 2023 presidential election.</v>
      </c>
    </row>
    <row r="1461" ht="15.75" customHeight="1">
      <c r="A1461" s="2" t="s">
        <v>1485</v>
      </c>
      <c r="B1461" s="2" t="str">
        <f>IFERROR(__xludf.DUMMYFUNCTION("GOOGLETRANSLATE(A1461, ""yo"", ""en"")"),"Now that the PDP has not chosen its presidential candidate for the 2027 election, Wike, who is now the minister of Abuja, warned the PDP last May that the party will fail if they bring a presidential candidate from the northern region.")</f>
        <v>Now that the PDP has not chosen its presidential candidate for the 2027 election, Wike, who is now the minister of Abuja, warned the PDP last May that the party will fail if they bring a presidential candidate from the northern region.</v>
      </c>
    </row>
    <row r="1462" ht="15.75" customHeight="1">
      <c r="A1462" s="2" t="s">
        <v>1486</v>
      </c>
      <c r="B1462" s="2" t="str">
        <f>IFERROR(__xludf.DUMMYFUNCTION("GOOGLETRANSLATE(A1462, ""yo"", ""en"")"),"Wike said that it would not make sense if the PDP opposition party brought a presidential candidate from the north while President Tinubu who would be the candidate for the APC came from the south.")</f>
        <v>Wike said that it would not make sense if the PDP opposition party brought a presidential candidate from the north while President Tinubu who would be the candidate for the APC came from the south.</v>
      </c>
    </row>
    <row r="1463" ht="15.75" customHeight="1">
      <c r="A1463" s="2" t="s">
        <v>1487</v>
      </c>
      <c r="B1463" s="2" t="str">
        <f>IFERROR(__xludf.DUMMYFUNCTION("GOOGLETRANSLATE(A1463, ""yo"", ""en"")"),"This past Tuesday, the re-voting took place in thirteen states and sixteen constituencies across Nigeria.")</f>
        <v>This past Tuesday, the re-voting took place in thirteen states and sixteen constituencies across Nigeria.</v>
      </c>
    </row>
    <row r="1464" ht="15.75" customHeight="1">
      <c r="A1464" s="2" t="s">
        <v>1488</v>
      </c>
      <c r="B1464" s="2" t="str">
        <f>IFERROR(__xludf.DUMMYFUNCTION("GOOGLETRANSLATE(A1464, ""yo"", ""en"")"),"And even though the vote is over, the controversy over your egg has not rested.")</f>
        <v>And even though the vote is over, the controversy over your egg has not rested.</v>
      </c>
    </row>
    <row r="1465" ht="15.75" customHeight="1">
      <c r="A1465" s="2" t="s">
        <v>1489</v>
      </c>
      <c r="B1465" s="2" t="str">
        <f>IFERROR(__xludf.DUMMYFUNCTION("GOOGLETRANSLATE(A1465, ""yo"", ""en"")"),"In the result of the election that our country's electoral organization, INEC, released, it showed that APC won the vote in twelve constituencies, APGA won in two regions, PDP won in one region, while the NNPP won in only one region.")</f>
        <v>In the result of the election that our country's electoral organization, INEC, released, it showed that APC won the vote in twelve constituencies, APGA won in two regions, PDP won in one region, while the NNPP won in only one region.</v>
      </c>
    </row>
    <row r="1466" ht="15.75" customHeight="1">
      <c r="A1466" s="2" t="s">
        <v>1490</v>
      </c>
      <c r="B1466" s="2" t="str">
        <f>IFERROR(__xludf.DUMMYFUNCTION("GOOGLETRANSLATE(A1466, ""yo"", ""en"")"),"But almost across the state, the opposition parties have started protesting the result of this election.")</f>
        <v>But almost across the state, the opposition parties have started protesting the result of this election.</v>
      </c>
    </row>
    <row r="1467" ht="15.75" customHeight="1">
      <c r="A1467" s="2" t="s">
        <v>1491</v>
      </c>
      <c r="B1467" s="2" t="str">
        <f>IFERROR(__xludf.DUMMYFUNCTION("GOOGLETRANSLATE(A1467, ""yo"", ""en"")"),"What they are saying is that the APC used its power to prevent other parties, they are the ones who used their influence in the Awarawa government and they survived.")</f>
        <v>What they are saying is that the APC used its power to prevent other parties, they are the ones who used their influence in the Awarawa government and they survived.</v>
      </c>
    </row>
    <row r="1468" ht="15.75" customHeight="1">
      <c r="A1468" s="2" t="s">
        <v>1492</v>
      </c>
      <c r="B1468" s="2" t="str">
        <f>IFERROR(__xludf.DUMMYFUNCTION("GOOGLETRANSLATE(A1468, ""yo"", ""en"")"),"Otunba Olufemi Soluade is the Chairman of ADC political party in Ogun state.")</f>
        <v>Otunba Olufemi Soluade is the Chairman of ADC political party in Ogun state.</v>
      </c>
    </row>
    <row r="1469" ht="15.75" customHeight="1">
      <c r="A1469" s="2" t="s">
        <v>1493</v>
      </c>
      <c r="B1469" s="2" t="str">
        <f>IFERROR(__xludf.DUMMYFUNCTION("GOOGLETRANSLATE(A1469, ""yo"", ""en"")"),"BBC News Yoruba news on your WhatsApp Join us at the End of podcast promotion Your group is entitled to participate in the re-election for Remo, Ikenne and Sagamu constituencies on Tuesday.")</f>
        <v>BBC News Yoruba news on your WhatsApp Join us at the End of podcast promotion Your group is entitled to participate in the re-election for Remo, Ikenne and Sagamu constituencies on Tuesday.</v>
      </c>
    </row>
    <row r="1470" ht="15.75" customHeight="1">
      <c r="A1470" s="2" t="s">
        <v>1494</v>
      </c>
      <c r="B1470" s="2" t="str">
        <f>IFERROR(__xludf.DUMMYFUNCTION("GOOGLETRANSLATE(A1470, ""yo"", ""en"")"),"But according to the statement made by Otunba Soluade to BBC News Yoruba on Tuesday morning, he said that the candidate for ADC was not elected.")</f>
        <v>But according to the statement made by Otunba Soluade to BBC News Yoruba on Tuesday morning, he said that the candidate for ADC was not elected.</v>
      </c>
    </row>
    <row r="1471" ht="15.75" customHeight="1">
      <c r="A1471" s="2" t="s">
        <v>1495</v>
      </c>
      <c r="B1471" s="2" t="str">
        <f>IFERROR(__xludf.DUMMYFUNCTION("GOOGLETRANSLATE(A1471, ""yo"", ""en"")"),"He said the APC used power to make it clear.")</f>
        <v>He said the APC used power to make it clear.</v>
      </c>
    </row>
    <row r="1472" ht="15.75" customHeight="1">
      <c r="A1472" s="2" t="s">
        <v>1496</v>
      </c>
      <c r="B1472" s="4" t="str">
        <f>IFERROR(__xludf.DUMMYFUNCTION("GOOGLETRANSLATE(A1472, ""yo"", ""en"")"),"""We have voted, the vote has come, it has gone, but it has not gone well at all.")</f>
        <v>"We have voted, the vote has come, it has gone, but it has not gone well at all.</v>
      </c>
    </row>
    <row r="1473" ht="15.75" customHeight="1">
      <c r="A1473" s="2" t="s">
        <v>1497</v>
      </c>
      <c r="B1473" s="3" t="str">
        <f>IFERROR(__xludf.DUMMYFUNCTION("GOOGLETRANSLATE(A1473, ""yo"", ""en"")"),"""In the government of Awarawa that we are doing, it should not be like that.")</f>
        <v>"In the government of Awarawa that we are doing, it should not be like that.</v>
      </c>
    </row>
    <row r="1474" ht="15.75" customHeight="1">
      <c r="A1474" s="2" t="s">
        <v>1498</v>
      </c>
      <c r="B1474" s="2" t="str">
        <f>IFERROR(__xludf.DUMMYFUNCTION("GOOGLETRANSLATE(A1474, ""yo"", ""en"")"),"It should not be a group that keeps saying that the rest of the groups will not have peace, which will mean that the members will not be able to vote.")</f>
        <v>It should not be a group that keeps saying that the rest of the groups will not have peace, which will mean that the members will not be able to vote.</v>
      </c>
    </row>
    <row r="1475" ht="15.75" customHeight="1">
      <c r="A1475" s="2" t="s">
        <v>1499</v>
      </c>
      <c r="B1475" s="2" t="str">
        <f>IFERROR(__xludf.DUMMYFUNCTION("GOOGLETRANSLATE(A1475, ""yo"", ""en"")"),"""We have written a letter before the election that we will vote, we will read everywhere we go.")</f>
        <v>"We have written a letter before the election that we will vote, we will read everywhere we go.</v>
      </c>
    </row>
    <row r="1476" ht="15.75" customHeight="1">
      <c r="A1476" s="2" t="s">
        <v>1500</v>
      </c>
      <c r="B1476" s="2" t="str">
        <f>IFERROR(__xludf.DUMMYFUNCTION("GOOGLETRANSLATE(A1476, ""yo"", ""en"")"),"We wrote a letter to the Ogun police commissioner, they sent it to Remo, they were working on it before they told them not to do our letter.")</f>
        <v>We wrote a letter to the Ogun police commissioner, they sent it to Remo, they were working on it before they told them not to do our letter.</v>
      </c>
    </row>
    <row r="1477" ht="15.75" customHeight="1">
      <c r="A1477" s="2" t="s">
        <v>1501</v>
      </c>
      <c r="B1477" s="2" t="str">
        <f>IFERROR(__xludf.DUMMYFUNCTION("GOOGLETRANSLATE(A1477, ""yo"", ""en"")"),"""I don't think there is any political party as bad as APC, that's why they are sending the people's vehicle to us on election day.")</f>
        <v>"I don't think there is any political party as bad as APC, that's why they are sending the people's vehicle to us on election day.</v>
      </c>
    </row>
    <row r="1478" ht="15.75" customHeight="1">
      <c r="A1478" s="2" t="s">
        <v>1502</v>
      </c>
      <c r="B1478" s="2" t="str">
        <f>IFERROR(__xludf.DUMMYFUNCTION("GOOGLETRANSLATE(A1478, ""yo"", ""en"")"),"""The candidate of our political party, Barrister Seyi Solomon Oso, could not vote, that's why they locked him up, they blocked his car and blocked his house, they didn't come out to vote.")</f>
        <v>"The candidate of our political party, Barrister Seyi Solomon Oso, could not vote, that's why they locked him up, they blocked his car and blocked his house, they didn't come out to vote.</v>
      </c>
    </row>
    <row r="1479" ht="15.75" customHeight="1">
      <c r="A1479" s="2" t="s">
        <v>1503</v>
      </c>
      <c r="B1479" s="2" t="str">
        <f>IFERROR(__xludf.DUMMYFUNCTION("GOOGLETRANSLATE(A1479, ""yo"", ""en"")"),"""There are pictures of the bullets in front of your land, I can send them to you so you can see them.")</f>
        <v>"There are pictures of the bullets in front of your land, I can send them to you so you can see them.</v>
      </c>
    </row>
    <row r="1480" ht="15.75" customHeight="1">
      <c r="A1480" s="2" t="s">
        <v>1504</v>
      </c>
      <c r="B1480" s="2" t="str">
        <f>IFERROR(__xludf.DUMMYFUNCTION("ARRAYFORMULA(GOOGLETRANSLATE(A1480:A2108,""yo"",""en""))"),"""In the same way, they took all our seats where we were about to vote, that's until tomorrow we vote.")</f>
        <v>"In the same way, they took all our seats where we were about to vote, that's until tomorrow we vote.</v>
      </c>
    </row>
    <row r="1481" ht="15.75" customHeight="1">
      <c r="A1481" s="2" t="s">
        <v>1505</v>
      </c>
      <c r="B1481" s="2" t="str">
        <f>IFERROR(__xludf.DUMMYFUNCTION("GOOGLETRANSLATE(A1481, ""yo"", ""en"")"),"""About 200 policemen did not come, they said something must not happen where we vote.")</f>
        <v>"About 200 policemen did not come, they said something must not happen where we vote.</v>
      </c>
    </row>
    <row r="1482" ht="15.75" customHeight="1">
      <c r="A1482" s="2" t="s">
        <v>1506</v>
      </c>
      <c r="B1482" s="2" t="str">
        <f>IFERROR(__xludf.DUMMYFUNCTION("GOOGLETRANSLATE(A1482, ""yo"", ""en"")"),"They only have APC there for us, we stubbornly allow them to pass.")</f>
        <v>They only have APC there for us, we stubbornly allow them to pass.</v>
      </c>
    </row>
    <row r="1483" ht="15.75" customHeight="1">
      <c r="A1483" s="2" t="s">
        <v>1507</v>
      </c>
      <c r="B1483" s="2" t="str">
        <f>IFERROR(__xludf.DUMMYFUNCTION("GOOGLETRANSLATE(A1483, ""yo"", ""en"")"),"""Where were they that Saturday?")</f>
        <v>"Where were they that Saturday?</v>
      </c>
    </row>
    <row r="1484" ht="15.75" customHeight="1">
      <c r="A1484" s="2" t="s">
        <v>1508</v>
      </c>
      <c r="B1484" s="2" t="str">
        <f>IFERROR(__xludf.DUMMYFUNCTION("GOOGLETRANSLATE(A1484, ""yo"", ""en"")"),"Are we making this government or are we deceiving ourselves?")</f>
        <v>Are we making this government or are we deceiving ourselves?</v>
      </c>
    </row>
    <row r="1485" ht="15.75" customHeight="1">
      <c r="A1485" s="2" t="s">
        <v>1509</v>
      </c>
      <c r="B1485" s="2" t="str">
        <f>IFERROR(__xludf.DUMMYFUNCTION("GOOGLETRANSLATE(A1485, ""yo"", ""en"")"),"""Those who are leading us do not believe in the government of Awarawa, they are our commanders.")</f>
        <v>"Those who are leading us do not believe in the government of Awarawa, they are our commanders.</v>
      </c>
    </row>
    <row r="1486" ht="15.75" customHeight="1">
      <c r="A1486" s="2" t="s">
        <v>1510</v>
      </c>
      <c r="B1486" s="2" t="str">
        <f>IFERROR(__xludf.DUMMYFUNCTION("GOOGLETRANSLATE(A1486, ""yo"", ""en"")"),"""What they want is nothing more than to take power and do what they like, especially with the people's money.")</f>
        <v>"What they want is nothing more than to take power and do what they like, especially with the people's money.</v>
      </c>
    </row>
    <row r="1487" ht="15.75" customHeight="1">
      <c r="A1487" s="2" t="s">
        <v>1511</v>
      </c>
      <c r="B1487" s="2" t="str">
        <f>IFERROR(__xludf.DUMMYFUNCTION("GOOGLETRANSLATE(A1487, ""yo"", ""en"")"),"""That's what I know, these people are not politicians, they are our commanders.")</f>
        <v>"That's what I know, these people are not politicians, they are our commanders.</v>
      </c>
    </row>
    <row r="1488" ht="15.75" customHeight="1">
      <c r="A1488" s="2" t="s">
        <v>1512</v>
      </c>
      <c r="B1488" s="2" t="str">
        <f>IFERROR(__xludf.DUMMYFUNCTION("GOOGLETRANSLATE(A1190, ""yo"", ""en"")"),"There is also information on the channel of Osun e-GP that the government has signed N678,843,462 for the project.")</f>
        <v>There is also information on the channel of Osun e-GP that the government has signed N678,843,462 for the project.</v>
      </c>
    </row>
    <row r="1489" ht="15.75" customHeight="1">
      <c r="A1489" s="2" t="s">
        <v>1513</v>
      </c>
      <c r="B1489" s="2" t="str">
        <f>IFERROR(__xludf.DUMMYFUNCTION("GOOGLETRANSLATE(A1489, ""yo"", ""en"")"),"I hear you.")</f>
        <v>I hear you.</v>
      </c>
    </row>
    <row r="1490" ht="15.75" customHeight="1">
      <c r="A1490" s="2" t="s">
        <v>1514</v>
      </c>
      <c r="B1490" s="2" t="s">
        <v>3</v>
      </c>
    </row>
    <row r="1491" ht="15.75" customHeight="1">
      <c r="A1491" s="2" t="s">
        <v>1515</v>
      </c>
      <c r="B1491" s="2" t="s">
        <v>5</v>
      </c>
    </row>
    <row r="1492" ht="15.75" customHeight="1">
      <c r="A1492" s="2" t="s">
        <v>1516</v>
      </c>
      <c r="B1492" s="3" t="s">
        <v>7</v>
      </c>
    </row>
    <row r="1493" ht="15.75" customHeight="1">
      <c r="A1493" s="2" t="s">
        <v>1517</v>
      </c>
      <c r="B1493" s="2" t="s">
        <v>9</v>
      </c>
    </row>
    <row r="1494" ht="15.75" customHeight="1">
      <c r="A1494" s="2" t="s">
        <v>1518</v>
      </c>
      <c r="B1494" s="2" t="s">
        <v>11</v>
      </c>
    </row>
    <row r="1495" ht="15.75" customHeight="1">
      <c r="A1495" s="2" t="s">
        <v>1519</v>
      </c>
      <c r="B1495" s="2" t="s">
        <v>13</v>
      </c>
    </row>
    <row r="1496" ht="15.75" customHeight="1">
      <c r="A1496" s="2" t="s">
        <v>1520</v>
      </c>
      <c r="B1496" s="2" t="s">
        <v>15</v>
      </c>
    </row>
    <row r="1497" ht="15.75" customHeight="1">
      <c r="A1497" s="2" t="s">
        <v>1521</v>
      </c>
      <c r="B1497" s="2" t="s">
        <v>17</v>
      </c>
    </row>
    <row r="1498" ht="15.75" customHeight="1">
      <c r="A1498" s="2" t="s">
        <v>1522</v>
      </c>
      <c r="B1498" s="2" t="s">
        <v>19</v>
      </c>
    </row>
    <row r="1499" ht="15.75" customHeight="1">
      <c r="A1499" s="2" t="s">
        <v>1523</v>
      </c>
      <c r="B1499" s="2" t="s">
        <v>21</v>
      </c>
    </row>
    <row r="1500" ht="15.75" customHeight="1">
      <c r="A1500" s="2" t="s">
        <v>1524</v>
      </c>
      <c r="B1500" s="2" t="s">
        <v>23</v>
      </c>
    </row>
    <row r="1501" ht="15.75" customHeight="1">
      <c r="A1501" s="2" t="s">
        <v>1525</v>
      </c>
      <c r="B1501" s="2" t="s">
        <v>25</v>
      </c>
    </row>
    <row r="1502" ht="15.75" customHeight="1">
      <c r="A1502" s="2" t="s">
        <v>1526</v>
      </c>
      <c r="B1502" s="2" t="s">
        <v>27</v>
      </c>
    </row>
    <row r="1503" ht="15.75" customHeight="1">
      <c r="A1503" s="2" t="s">
        <v>1527</v>
      </c>
      <c r="B1503" s="2" t="str">
        <f>IFERROR(__xludf.DUMMYFUNCTION("GOOGLETRANSLATE(A1503, ""yo"", ""en"")"),"According to the results of the election announced by INEC, the PDP party's President Oyekunle won 18,404 votes, beating APC's President Adewale Olatunji with 8,312 votes.")</f>
        <v>According to the results of the election announced by INEC, the PDP party's President Oyekunle won 18,404 votes, beating APC's President Adewale Olatunji with 8,312 votes.</v>
      </c>
    </row>
    <row r="1504" ht="15.75" customHeight="1">
      <c r="A1504" s="2" t="s">
        <v>1528</v>
      </c>
      <c r="B1504" s="2" t="s">
        <v>30</v>
      </c>
    </row>
    <row r="1505" ht="15.75" customHeight="1">
      <c r="A1505" s="2" t="s">
        <v>1529</v>
      </c>
      <c r="B1505" s="2" t="s">
        <v>32</v>
      </c>
    </row>
    <row r="1506" ht="15.75" customHeight="1">
      <c r="A1506" s="2" t="s">
        <v>1530</v>
      </c>
      <c r="B1506" s="2" t="s">
        <v>34</v>
      </c>
    </row>
    <row r="1507" ht="15.75" customHeight="1">
      <c r="A1507" s="2" t="s">
        <v>1531</v>
      </c>
      <c r="B1507" s="2" t="s">
        <v>36</v>
      </c>
    </row>
    <row r="1508" ht="15.75" customHeight="1">
      <c r="A1508" s="2" t="s">
        <v>1532</v>
      </c>
      <c r="B1508" s="2" t="s">
        <v>38</v>
      </c>
    </row>
    <row r="1509" ht="15.75" customHeight="1">
      <c r="A1509" s="2" t="s">
        <v>1533</v>
      </c>
      <c r="B1509" s="2" t="s">
        <v>40</v>
      </c>
    </row>
    <row r="1510" ht="15.75" customHeight="1">
      <c r="A1510" s="2" t="s">
        <v>1534</v>
      </c>
      <c r="B1510" s="2" t="s">
        <v>42</v>
      </c>
    </row>
    <row r="1511" ht="15.75" customHeight="1">
      <c r="A1511" s="2" t="s">
        <v>1535</v>
      </c>
      <c r="B1511" s="2" t="s">
        <v>44</v>
      </c>
    </row>
    <row r="1512" ht="15.75" customHeight="1">
      <c r="A1512" s="2" t="s">
        <v>1536</v>
      </c>
      <c r="B1512" s="2" t="s">
        <v>46</v>
      </c>
    </row>
    <row r="1513" ht="15.75" customHeight="1">
      <c r="A1513" s="2" t="s">
        <v>1537</v>
      </c>
      <c r="B1513" s="2" t="s">
        <v>48</v>
      </c>
    </row>
    <row r="1514" ht="15.75" customHeight="1">
      <c r="A1514" s="2" t="s">
        <v>1538</v>
      </c>
      <c r="B1514" s="2" t="s">
        <v>50</v>
      </c>
    </row>
    <row r="1515" ht="15.75" customHeight="1">
      <c r="A1515" s="2" t="s">
        <v>1539</v>
      </c>
      <c r="B1515" s="2" t="s">
        <v>52</v>
      </c>
    </row>
    <row r="1516" ht="15.75" customHeight="1">
      <c r="A1516" s="2" t="s">
        <v>1540</v>
      </c>
      <c r="B1516" s="2" t="s">
        <v>54</v>
      </c>
    </row>
    <row r="1517" ht="15.75" customHeight="1">
      <c r="A1517" s="2" t="s">
        <v>1541</v>
      </c>
      <c r="B1517" s="2" t="s">
        <v>56</v>
      </c>
    </row>
    <row r="1518" ht="15.75" customHeight="1">
      <c r="A1518" s="2" t="s">
        <v>1542</v>
      </c>
      <c r="B1518" s="2" t="s">
        <v>58</v>
      </c>
    </row>
    <row r="1519" ht="15.75" customHeight="1">
      <c r="A1519" s="2" t="s">
        <v>1543</v>
      </c>
      <c r="B1519" s="2" t="s">
        <v>1544</v>
      </c>
    </row>
    <row r="1520" ht="15.75" customHeight="1">
      <c r="A1520" s="2" t="s">
        <v>1545</v>
      </c>
      <c r="B1520" s="2" t="str">
        <f>IFERROR(__xludf.DUMMYFUNCTION("GOOGLETRANSLATE(A1520, ""yo"", ""en"")"),"However, after the news, the President's office announced that there is nothing to suggest that the President is sick and that his body is weak.")</f>
        <v>However, after the news, the President's office announced that there is nothing to suggest that the President is sick and that his body is weak.</v>
      </c>
    </row>
    <row r="1521" ht="15.75" customHeight="1">
      <c r="A1521" s="2" t="s">
        <v>1546</v>
      </c>
      <c r="B1521" s="2" t="s">
        <v>63</v>
      </c>
    </row>
    <row r="1522" ht="15.75" customHeight="1">
      <c r="A1522" s="2" t="s">
        <v>1547</v>
      </c>
      <c r="B1522" s="2" t="s">
        <v>65</v>
      </c>
    </row>
    <row r="1523" ht="15.75" customHeight="1">
      <c r="A1523" s="2" t="s">
        <v>1548</v>
      </c>
      <c r="B1523" s="2" t="s">
        <v>67</v>
      </c>
    </row>
    <row r="1524" ht="15.75" customHeight="1">
      <c r="A1524" s="2" t="s">
        <v>1549</v>
      </c>
      <c r="B1524" s="2" t="s">
        <v>69</v>
      </c>
    </row>
    <row r="1525" ht="15.75" customHeight="1">
      <c r="A1525" s="2" t="s">
        <v>1550</v>
      </c>
      <c r="B1525" s="2" t="s">
        <v>71</v>
      </c>
    </row>
    <row r="1526" ht="15.75" customHeight="1">
      <c r="A1526" s="2" t="s">
        <v>1551</v>
      </c>
      <c r="B1526" s="2" t="s">
        <v>73</v>
      </c>
    </row>
    <row r="1527" ht="15.75" customHeight="1">
      <c r="A1527" s="2" t="s">
        <v>1552</v>
      </c>
      <c r="B1527" s="2" t="s">
        <v>75</v>
      </c>
    </row>
    <row r="1528" ht="15.75" customHeight="1">
      <c r="A1528" s="2" t="s">
        <v>1553</v>
      </c>
      <c r="B1528" s="2" t="str">
        <f>IFERROR(__xludf.DUMMYFUNCTION("GOOGLETRANSLATE(A1528, ""yo"", ""en"")"),"""How do we want to explain that we have a President who recently arrived from Brazil and is still returning there even though we are facing all kinds of problems at home with no way out?"" Obi said that it is true that the President is going to Brazil an"&amp;"d Japan, but he did not say the exact date he will return.")</f>
        <v>"How do we want to explain that we have a President who recently arrived from Brazil and is still returning there even though we are facing all kinds of problems at home with no way out?" Obi said that it is true that the President is going to Brazil and Japan, but he did not say the exact date he will return.</v>
      </c>
    </row>
    <row r="1529" ht="15.75" customHeight="1">
      <c r="A1529" s="2" t="s">
        <v>1554</v>
      </c>
      <c r="B1529" s="2" t="s">
        <v>78</v>
      </c>
    </row>
    <row r="1530" ht="15.75" customHeight="1">
      <c r="A1530" s="2" t="s">
        <v>1555</v>
      </c>
      <c r="B1530" s="2" t="s">
        <v>80</v>
      </c>
    </row>
    <row r="1531" ht="15.75" customHeight="1">
      <c r="A1531" s="2" t="s">
        <v>1556</v>
      </c>
      <c r="B1531" s="2" t="s">
        <v>82</v>
      </c>
    </row>
    <row r="1532" ht="15.75" customHeight="1">
      <c r="A1532" s="2" t="s">
        <v>1557</v>
      </c>
      <c r="B1532" s="2" t="s">
        <v>84</v>
      </c>
    </row>
    <row r="1533" ht="15.75" customHeight="1">
      <c r="A1533" s="2" t="s">
        <v>1558</v>
      </c>
      <c r="B1533" s="2" t="s">
        <v>86</v>
      </c>
    </row>
    <row r="1534" ht="15.75" customHeight="1">
      <c r="A1534" s="2" t="s">
        <v>1559</v>
      </c>
      <c r="B1534" s="2" t="s">
        <v>88</v>
      </c>
    </row>
    <row r="1535" ht="15.75" customHeight="1">
      <c r="A1535" s="2" t="s">
        <v>1560</v>
      </c>
      <c r="B1535" s="2" t="s">
        <v>90</v>
      </c>
    </row>
    <row r="1536" ht="15.75" customHeight="1">
      <c r="A1536" s="2" t="s">
        <v>1561</v>
      </c>
      <c r="B1536" s="2" t="s">
        <v>92</v>
      </c>
    </row>
    <row r="1537" ht="15.75" customHeight="1">
      <c r="A1537" s="2" t="s">
        <v>1562</v>
      </c>
      <c r="B1537" s="2" t="s">
        <v>94</v>
      </c>
    </row>
    <row r="1538" ht="15.75" customHeight="1">
      <c r="A1538" s="2" t="s">
        <v>1563</v>
      </c>
      <c r="B1538" s="2" t="s">
        <v>96</v>
      </c>
    </row>
    <row r="1539" ht="15.75" customHeight="1">
      <c r="A1539" s="2" t="s">
        <v>1564</v>
      </c>
      <c r="B1539" s="2" t="s">
        <v>98</v>
      </c>
    </row>
    <row r="1540" ht="15.75" customHeight="1">
      <c r="A1540" s="2" t="s">
        <v>1565</v>
      </c>
      <c r="B1540" s="2" t="s">
        <v>100</v>
      </c>
    </row>
    <row r="1541" ht="15.75" customHeight="1">
      <c r="A1541" s="2" t="s">
        <v>430</v>
      </c>
      <c r="B1541" s="2" t="str">
        <f>IFERROR(__xludf.DUMMYFUNCTION("GOOGLETRANSLATE(A1541, ""yo"", ""en"")"),"We ask for your permission before anything is loaded, as they may be using cookies and other technologies.")</f>
        <v>We ask for your permission before anything is loaded, as they may be using cookies and other technologies.</v>
      </c>
    </row>
    <row r="1542" ht="15.75" customHeight="1">
      <c r="A1542" s="2" t="s">
        <v>1566</v>
      </c>
      <c r="B1542" s="2" t="s">
        <v>103</v>
      </c>
    </row>
    <row r="1543" ht="15.75" customHeight="1">
      <c r="A1543" s="2" t="s">
        <v>432</v>
      </c>
      <c r="B1543" s="2" t="s">
        <v>105</v>
      </c>
    </row>
    <row r="1544" ht="15.75" customHeight="1">
      <c r="A1544" s="2" t="s">
        <v>1567</v>
      </c>
      <c r="B1544" s="2" t="str">
        <f>IFERROR(__xludf.DUMMYFUNCTION("GOOGLETRANSLATE(A1544, ""yo"", ""en"")"),"End of Instagram post Content is not available Ibom Air has not yet responded to what Comfort Emmanson said on his Instagram.")</f>
        <v>End of Instagram post Content is not available Ibom Air has not yet responded to what Comfort Emmanson said on his Instagram.</v>
      </c>
    </row>
    <row r="1545" ht="15.75" customHeight="1">
      <c r="A1545" s="2" t="s">
        <v>1568</v>
      </c>
      <c r="B1545" s="2" t="str">
        <f>IFERROR(__xludf.DUMMYFUNCTION("GOOGLETRANSLATE(A1545, ""yo"", ""en"")"),"However, the company has previously confirmed that there was a misunderstanding between a plan and the airline's staff, which they are resolving internally.")</f>
        <v>However, the company has previously confirmed that there was a misunderstanding between a plan and the airline's staff, which they are resolving internally.</v>
      </c>
    </row>
    <row r="1546" ht="15.75" customHeight="1">
      <c r="A1546" s="2" t="s">
        <v>1569</v>
      </c>
      <c r="B1546" s="2" t="str">
        <f>IFERROR(__xludf.DUMMYFUNCTION("GOOGLETRANSLATE(A1546, ""yo"", ""en"")"),"The airline executives also said that they never play with the words of their customers.")</f>
        <v>The airline executives also said that they never play with the words of their customers.</v>
      </c>
    </row>
    <row r="1547" ht="15.75" customHeight="1">
      <c r="A1547" s="2" t="s">
        <v>1570</v>
      </c>
      <c r="B1547" s="4" t="s">
        <v>110</v>
      </c>
    </row>
    <row r="1548" ht="15.75" customHeight="1">
      <c r="A1548" s="2" t="s">
        <v>1571</v>
      </c>
      <c r="B1548" s="2" t="str">
        <f>IFERROR(__xludf.DUMMYFUNCTION("GOOGLETRANSLATE(A1548, ""yo"", ""en"")"),"Some people are sympathizing with him on the past while others are saying that the government should investigate what happened to Comfort when he was incarcerated.")</f>
        <v>Some people are sympathizing with him on the past while others are saying that the government should investigate what happened to Comfort when he was incarcerated.</v>
      </c>
    </row>
    <row r="1549" ht="15.75" customHeight="1">
      <c r="A1549" s="2" t="s">
        <v>1572</v>
      </c>
      <c r="B1549" s="2" t="str">
        <f>IFERROR(__xludf.DUMMYFUNCTION("GOOGLETRANSLATE(A1549, ""yo"", ""en"")"),"Earlier on the 13th of August at a magistrate's court in Ikeja, Lagos, Comfort Emmanson was released from prison custody after causing trouble and killing one of the employees of Ibom Air in Lagos.")</f>
        <v>Earlier on the 13th of August at a magistrate's court in Ikeja, Lagos, Comfort Emmanson was released from prison custody after causing trouble and killing one of the employees of Ibom Air in Lagos.</v>
      </c>
    </row>
    <row r="1550" ht="15.75" customHeight="1">
      <c r="A1550" s="2" t="s">
        <v>1573</v>
      </c>
      <c r="B1550" s="2" t="str">
        <f>IFERROR(__xludf.DUMMYFUNCTION("GOOGLETRANSLATE(A1550, ""yo"", ""en"")"),"Judge Olanrewaju Salami released the young woman after the police station said that they are not interested in her and continue to work on the five separate charges against her.")</f>
        <v>Judge Olanrewaju Salami released the young woman after the police station said that they are not interested in her and continue to work on the five separate charges against her.</v>
      </c>
    </row>
    <row r="1551" ht="15.75" customHeight="1">
      <c r="A1551" s="2" t="s">
        <v>1574</v>
      </c>
      <c r="B1551" s="2" t="str">
        <f>IFERROR(__xludf.DUMMYFUNCTION("GOOGLETRANSLATE(A1551, ""yo"", ""en"")"),"Well, before this step, the minister for the aviation industry in Nigeria, Festus Keyamo, (SAN), had first announced on his X that they should leave.")</f>
        <v>Well, before this step, the minister for the aviation industry in Nigeria, Festus Keyamo, (SAN), had first announced on his X that they should leave.</v>
      </c>
    </row>
    <row r="1552" ht="15.75" customHeight="1">
      <c r="A1552" s="2" t="s">
        <v>1575</v>
      </c>
      <c r="B1552" s="2" t="str">
        <f>IFERROR(__xludf.DUMMYFUNCTION("GOOGLETRANSLATE(A1552, ""yo"", ""en"")"),"Keyamo said that many people have pleaded with the suspect, he has been found guilty and they have removed the case from him.")</f>
        <v>Keyamo said that many people have pleaded with the suspect, he has been found guilty and they have removed the case from him.</v>
      </c>
    </row>
    <row r="1553" ht="15.75" customHeight="1">
      <c r="A1553" s="2" t="s">
        <v>1576</v>
      </c>
      <c r="B1553" s="2" t="str">
        <f>IFERROR(__xludf.DUMMYFUNCTION("GOOGLETRANSLATE(A1553, ""yo"", ""en"")"),"He added that the airline company Ibom Air has agreed to withdraw from the case and accusation against the suspect.")</f>
        <v>He added that the airline company Ibom Air has agreed to withdraw from the case and accusation against the suspect.</v>
      </c>
    </row>
    <row r="1554" ht="15.75" customHeight="1">
      <c r="A1554" s="2" t="s">
        <v>1577</v>
      </c>
      <c r="B1554" s="2" t="str">
        <f>IFERROR(__xludf.DUMMYFUNCTION("GOOGLETRANSLATE(A1554, ""yo"", ""en"")"),"On Monday this week, Emmanson ignored the case, even though the court accepted his bail, but they put him in the prison because he did not find what is required for bail.")</f>
        <v>On Monday this week, Emmanson ignored the case, even though the court accepted his bail, but they put him in the prison because he did not find what is required for bail.</v>
      </c>
    </row>
    <row r="1555" ht="15.75" customHeight="1">
      <c r="A1555" s="2" t="s">
        <v>1578</v>
      </c>
      <c r="B1555" s="2" t="str">
        <f>IFERROR(__xludf.DUMMYFUNCTION("GOOGLETRANSLATE(A1555, ""yo"", ""en"")"),"This move is due to various accusations that many people are paying to get federal government jobs and others are doing royal jobs.")</f>
        <v>This move is due to various accusations that many people are paying to get federal government jobs and others are doing royal jobs.</v>
      </c>
    </row>
    <row r="1556" ht="15.75" customHeight="1">
      <c r="A1556" s="2" t="s">
        <v>1579</v>
      </c>
      <c r="B1556" s="2" t="str">
        <f>IFERROR(__xludf.DUMMYFUNCTION("GOOGLETRANSLATE(A1556, ""yo"", ""en"")"),"This statement is contained in a press release issued by the secretary general of the FCSC which deals with workers in Nigeria, Ndiomu Ebiogeh Philip.")</f>
        <v>This statement is contained in a press release issued by the secretary general of the FCSC which deals with workers in Nigeria, Ndiomu Ebiogeh Philip.</v>
      </c>
    </row>
    <row r="1557" ht="15.75" customHeight="1">
      <c r="A1557" s="2" t="s">
        <v>1580</v>
      </c>
      <c r="B1557" s="2" t="str">
        <f>IFERROR(__xludf.DUMMYFUNCTION("GOOGLETRANSLATE(A1557, ""yo"", ""en"")"),"The government warned that anyone who refuses to do so will mean they are using fake recruitment documents.")</f>
        <v>The government warned that anyone who refuses to do so will mean they are using fake recruitment documents.</v>
      </c>
    </row>
    <row r="1558" ht="15.75" customHeight="1">
      <c r="A1558" s="2" t="s">
        <v>1581</v>
      </c>
      <c r="B1558" s="2" t="str">
        <f>IFERROR(__xludf.DUMMYFUNCTION("GOOGLETRANSLATE(A1558, ""yo"", ""en"")"),"The government announced that this inspection will start from the 18th of August until the 28th of this month as well.")</f>
        <v>The government announced that this inspection will start from the 18th of August until the 28th of this month as well.</v>
      </c>
    </row>
    <row r="1559" ht="15.75" customHeight="1">
      <c r="A1559" s="2" t="s">
        <v>1582</v>
      </c>
      <c r="B1559" s="2" t="str">
        <f>IFERROR(__xludf.DUMMYFUNCTION("GOOGLETRANSLATE(A1559, ""yo"", ""en"")"),"In the same way, the government also told the employee to go for inspection in all government agencies.")</f>
        <v>In the same way, the government also told the employee to go for inspection in all government agencies.</v>
      </c>
    </row>
    <row r="1560" ht="15.75" customHeight="1">
      <c r="A1560" s="2" t="s">
        <v>1583</v>
      </c>
      <c r="B1560" s="2" t="str">
        <f>IFERROR(__xludf.DUMMYFUNCTION("GOOGLETRANSLATE(A1560, ""yo"", ""en"")"),"BBC News Yoruba news on your WhatsApp Join us at the End of podcast promotion Among the things that employees ask for is a recruitment document, a promotion document, a document to become an employee and a proof of last July's income with the IPPIS proces"&amp;"s.")</f>
        <v>BBC News Yoruba news on your WhatsApp Join us at the End of podcast promotion Among the things that employees ask for is a recruitment document, a promotion document, a document to become an employee and a proof of last July's income with the IPPIS process.</v>
      </c>
    </row>
    <row r="1561" ht="15.75" customHeight="1">
      <c r="A1561" s="2" t="s">
        <v>1584</v>
      </c>
      <c r="B1561" s="2" t="str">
        <f>IFERROR(__xludf.DUMMYFUNCTION("GOOGLETRANSLATE(A1561, ""yo"", ""en"")"),"The employees in question are those who received the federal government service between 2013 and 2020 who failed to participate in the examination program held in 2021.")</f>
        <v>The employees in question are those who received the federal government service between 2013 and 2020 who failed to participate in the examination program held in 2021.</v>
      </c>
    </row>
    <row r="1562" ht="15.75" customHeight="1">
      <c r="A1562" s="2" t="s">
        <v>1585</v>
      </c>
      <c r="B1562" s="2" t="str">
        <f>IFERROR(__xludf.DUMMYFUNCTION("GOOGLETRANSLATE(A1562, ""yo"", ""en"")"),"The FCSC said in the publication that ""every employee must follow the sound check procedure.")</f>
        <v>The FCSC said in the publication that "every employee must follow the sound check procedure.</v>
      </c>
    </row>
    <row r="1563" ht="15.75" customHeight="1">
      <c r="A1563" s="2" t="s">
        <v>1586</v>
      </c>
      <c r="B1563" s="2" t="str">
        <f>IFERROR(__xludf.DUMMYFUNCTION("GOOGLETRANSLATE(A1563, ""yo"", ""en"")"),"These employees must go to the place where they have been tested on the day they are given.")</f>
        <v>These employees must go to the place where they have been tested on the day they are given.</v>
      </c>
    </row>
    <row r="1564" ht="15.75" customHeight="1">
      <c r="A1564" s="2" t="s">
        <v>1587</v>
      </c>
      <c r="B1564" s="2" t="str">
        <f>IFERROR(__xludf.DUMMYFUNCTION("GOOGLETRANSLATE(A1564, ""yo"", ""en"")"),"All these workers have to check their names on the name list sent by the FCSC to all government departments. The FCSC said that 592 employees have a case in the government department that deals with the news program, while 506 employees have to check it i"&amp;"n the government department that deals with the education system.")</f>
        <v>All these workers have to check their names on the name list sent by the FCSC to all government departments. The FCSC said that 592 employees have a case in the government department that deals with the news program, while 506 employees have to check it in the government department that deals with the education system.</v>
      </c>
    </row>
    <row r="1565" ht="15.75" customHeight="1">
      <c r="A1565" s="2" t="s">
        <v>1588</v>
      </c>
      <c r="B1565" s="2" t="str">
        <f>IFERROR(__xludf.DUMMYFUNCTION("GOOGLETRANSLATE(A1565, ""yo"", ""en"")"),"The inspection will be conducted by a staff of 400 employees at the government agency that deals with the issues of employees.")</f>
        <v>The inspection will be conducted by a staff of 400 employees at the government agency that deals with the issues of employees.</v>
      </c>
    </row>
    <row r="1566" ht="15.75" customHeight="1">
      <c r="A1566" s="2" t="s">
        <v>1589</v>
      </c>
      <c r="B1566" s="2" t="str">
        <f>IFERROR(__xludf.DUMMYFUNCTION("GOOGLETRANSLATE(A1566, ""yo"", ""en"")"),"134 employees will be examined in the government agency that deals with external work, 196 in the government agency that deals with business and finance and 196 in the health department.")</f>
        <v>134 employees will be examined in the government agency that deals with external work, 196 in the government agency that deals with business and finance and 196 in the health department.</v>
      </c>
    </row>
    <row r="1567" ht="15.75" customHeight="1">
      <c r="A1567" s="2" t="s">
        <v>1590</v>
      </c>
      <c r="B1567" s="2" t="str">
        <f>IFERROR(__xludf.DUMMYFUNCTION("GOOGLETRANSLATE(A1567, ""yo"", ""en"")"),"Ojilelugba reduced three errors to one word in the government office dealing with environmental issues, twenty-four in government offices dealing with domestic affairs, twenty-eight in women's affairs and thirty-six employees in the federal secretary's of"&amp;"fice.")</f>
        <v>Ojilelugba reduced three errors to one word in the government office dealing with environmental issues, twenty-four in government offices dealing with domestic affairs, twenty-eight in women's affairs and thirty-six employees in the federal secretary's office.</v>
      </c>
    </row>
    <row r="1568" ht="15.75" customHeight="1">
      <c r="A1568" s="2" t="s">
        <v>1591</v>
      </c>
      <c r="B1568" s="2" t="str">
        <f>IFERROR(__xludf.DUMMYFUNCTION("GOOGLETRANSLATE(A1568, ""yo"", ""en"")"),"Kayode Akinmade, who is the spokesperson of the governor, Dapo Abiodun, said this while talking about Daniel's house in Asoludeora and his hotel, the Conference Hotel, which they want to restore.")</f>
        <v>Kayode Akinmade, who is the spokesperson of the governor, Dapo Abiodun, said this while talking about Daniel's house in Asoludeora and his hotel, the Conference Hotel, which they want to restore.</v>
      </c>
    </row>
    <row r="1569" ht="15.75" customHeight="1">
      <c r="A1569" s="2" t="s">
        <v>1592</v>
      </c>
      <c r="B1569" s="2" t="str">
        <f>IFERROR(__xludf.DUMMYFUNCTION("GOOGLETRANSLATE(A1569, ""yo"", ""en"")"),"Earlier, the former governor, Gbenga Daniel, had first spoken on the revenue of what the current government wants to see under the banner of the state that was written in 2022.")</f>
        <v>Earlier, the former governor, Gbenga Daniel, had first spoken on the revenue of what the current government wants to see under the banner of the state that was written in 2022.</v>
      </c>
    </row>
    <row r="1570" ht="15.75" customHeight="1">
      <c r="A1570" s="2" t="s">
        <v>1593</v>
      </c>
      <c r="B1570" s="2" t="str">
        <f>IFERROR(__xludf.DUMMYFUNCTION("GOOGLETRANSLATE(A1570, ""yo"", ""en"")"),"Daniel said that he did all the things he was supposed to do with the government before he wrote the earnings and that he didn't write any of it without first getting the government's permission.")</f>
        <v>Daniel said that he did all the things he was supposed to do with the government before he wrote the earnings and that he didn't write any of it without first getting the government's permission.</v>
      </c>
    </row>
    <row r="1571" ht="15.75" customHeight="1">
      <c r="A1571" s="2" t="s">
        <v>1594</v>
      </c>
      <c r="B1571" s="2" t="str">
        <f>IFERROR(__xludf.DUMMYFUNCTION("GOOGLETRANSLATE(A1571, ""yo"", ""en"")"),"He further said that the government's move to inspect his house in Sagam and the Conference Hotel was politically motivated.")</f>
        <v>He further said that the government's move to inspect his house in Sagam and the Conference Hotel was politically motivated.</v>
      </c>
    </row>
    <row r="1572" ht="15.75" customHeight="1">
      <c r="A1572" s="2" t="s">
        <v>1595</v>
      </c>
      <c r="B1572" s="2" t="str">
        <f>IFERROR(__xludf.DUMMYFUNCTION("GOOGLETRANSLATE(A1572, ""yo"", ""en"")"),"He said ""the Ogun state government never attacked Gbenga Daniel.")</f>
        <v>He said "the Ogun state government never attacked Gbenga Daniel.</v>
      </c>
    </row>
    <row r="1573" ht="15.75" customHeight="1">
      <c r="A1573" s="2" t="s">
        <v>1596</v>
      </c>
      <c r="B1573" s="2" t="str">
        <f>IFERROR(__xludf.DUMMYFUNCTION("GOOGLETRANSLATE(A1573, ""yo"", ""en"")"),"""What happened is that, in his effort to expand Ogun state, Governor Dapo Abiodun has started building modern buildings, and he is renovating small towns and large areas.")</f>
        <v>"What happened is that, in his effort to expand Ogun state, Governor Dapo Abiodun has started building modern buildings, and he is renovating small towns and large areas.</v>
      </c>
    </row>
    <row r="1574" ht="15.75" customHeight="1">
      <c r="A1574" s="2" t="s">
        <v>1597</v>
      </c>
      <c r="B1574" s="2" t="str">
        <f>IFERROR(__xludf.DUMMYFUNCTION("GOOGLETRANSLATE(A1574, ""yo"", ""en"")"),"""The Ibara GRA area has started the work in Abeokuta, and the work will also reach Sagamu and the GRA in Ijebu-Ode.")</f>
        <v>"The Ibara GRA area has started the work in Abeokuta, and the work will also reach Sagamu and the GRA in Ijebu-Ode.</v>
      </c>
    </row>
    <row r="1575" ht="15.75" customHeight="1">
      <c r="A1575" s="2" t="s">
        <v>1598</v>
      </c>
      <c r="B1575" s="2" t="str">
        <f>IFERROR(__xludf.DUMMYFUNCTION("GOOGLETRANSLATE(A1575, ""yo"", ""en"")"),"""The work calls for us to inspect the buildings in this area so that we can know if they are licensed by the government, the issue concerns residential buildings, schools, hospitals and shops."" Akinmade further said that ""Otunba Gbenga Daniel's house i"&amp;"s located in Sagamu GRA, apart from his house, the government also gave documents to the landowners in the area."" Akinmade concluded that the only thing left for Daniel to do is to take the registration document of his house to the government office that"&amp;" is in charge of the matter to resolve the issue.")</f>
        <v>"The work calls for us to inspect the buildings in this area so that we can know if they are licensed by the government, the issue concerns residential buildings, schools, hospitals and shops." Akinmade further said that "Otunba Gbenga Daniel's house is located in Sagamu GRA, apart from his house, the government also gave documents to the landowners in the area." Akinmade concluded that the only thing left for Daniel to do is to take the registration document of his house to the government office that is in charge of the matter to resolve the issue.</v>
      </c>
    </row>
    <row r="1576" ht="15.75" customHeight="1">
      <c r="A1576" s="2" t="s">
        <v>1599</v>
      </c>
      <c r="B1576" s="2" t="str">
        <f>IFERROR(__xludf.DUMMYFUNCTION("GOOGLETRANSLATE(A1576, ""yo"", ""en"")"),"He said that their actions are not related to politics even though Daniel believes that they are deliberately attacking him because of politics.")</f>
        <v>He said that their actions are not related to politics even though Daniel believes that they are deliberately attacking him because of politics.</v>
      </c>
    </row>
    <row r="1577" ht="15.75" customHeight="1">
      <c r="A1577" s="2" t="s">
        <v>1600</v>
      </c>
      <c r="B1577" s="2" t="str">
        <f>IFERROR(__xludf.DUMMYFUNCTION("GOOGLETRANSLATE(A1577, ""yo"", ""en"")"),"The latest news that has come out is that the Peoples Democratic Party, PDP, is discussing to field the former president of Nigeria, Goodluck Jonathan as a candidate for the 2027 presidential election.")</f>
        <v>The latest news that has come out is that the Peoples Democratic Party, PDP, is discussing to field the former president of Nigeria, Goodluck Jonathan as a candidate for the 2027 presidential election.</v>
      </c>
    </row>
    <row r="1578" ht="15.75" customHeight="1">
      <c r="A1578" s="2" t="s">
        <v>1601</v>
      </c>
      <c r="B1578" s="2" t="str">
        <f>IFERROR(__xludf.DUMMYFUNCTION("GOOGLETRANSLATE(A1578, ""yo"", ""en"")"),"Jonathan has taken a break from political work since he was defeated in the 2015 presidential election, and the PDP political party has confirmed that, discussions have started with Jonathan to come out against the president against President Bola Tinubu "&amp;"in the upcoming election.")</f>
        <v>Jonathan has taken a break from political work since he was defeated in the 2015 presidential election, and the PDP political party has confirmed that, discussions have started with Jonathan to come out against the president against President Bola Tinubu in the upcoming election.</v>
      </c>
    </row>
    <row r="1579" ht="15.75" customHeight="1">
      <c r="A1579" s="2" t="s">
        <v>1602</v>
      </c>
      <c r="B1579" s="2" t="str">
        <f>IFERROR(__xludf.DUMMYFUNCTION("GOOGLETRANSLATE(A1579, ""yo"", ""en"")"),"Some experts believe that it is a big step to prevent the union of certain groups.")</f>
        <v>Some experts believe that it is a big step to prevent the union of certain groups.</v>
      </c>
    </row>
    <row r="1580" ht="15.75" customHeight="1">
      <c r="A1580" s="2" t="s">
        <v>1603</v>
      </c>
      <c r="B1580" s="2" t="str">
        <f>IFERROR(__xludf.DUMMYFUNCTION("GOOGLETRANSLATE(A1580, ""yo"", ""en"")"),"The BBC news is that the PDP, together with the governors' association and leaders under the political party are trying to talk to President Jonathan to run for the presidency in the 2027 election.")</f>
        <v>The BBC news is that the PDP, together with the governors' association and leaders under the political party are trying to talk to President Jonathan to run for the presidency in the 2027 election.</v>
      </c>
    </row>
    <row r="1581" ht="15.75" customHeight="1">
      <c r="A1581" s="2" t="s">
        <v>1604</v>
      </c>
      <c r="B1581" s="2" t="str">
        <f>IFERROR(__xludf.DUMMYFUNCTION("GOOGLETRANSLATE(A1581, ""yo"", ""en"")"),"Malam Ibrahim Abdullahi, the deputy spokesperson of the PDP political party, confirmed the news, and it is not known that Jonathan is ready to break the good news to the PDP political party.")</f>
        <v>Malam Ibrahim Abdullahi, the deputy spokesperson of the PDP political party, confirmed the news, and it is not known that Jonathan is ready to break the good news to the PDP political party.</v>
      </c>
    </row>
    <row r="1582" ht="15.75" customHeight="1">
      <c r="A1582" s="2" t="s">
        <v>1605</v>
      </c>
      <c r="B1582" s="2" t="str">
        <f>IFERROR(__xludf.DUMMYFUNCTION("GOOGLETRANSLATE(A1582, ""yo"", ""en"")"),"""The thing that this God-fearing man did when he was in government is to believe that he has it in him.")</f>
        <v>"The thing that this God-fearing man did when he was in government is to believe that he has it in him.</v>
      </c>
    </row>
    <row r="1583" ht="15.75" customHeight="1">
      <c r="A1583" s="2" t="s">
        <v>1606</v>
      </c>
      <c r="B1583" s="2" t="str">
        <f>IFERROR(__xludf.DUMMYFUNCTION("GOOGLETRANSLATE(A1583, ""yo"", ""en"")"),"BBC News Yoruba news on your WhatsApp Join us at End of podcast promotion ""Since we are in the PDP political party, we can come out.")</f>
        <v>BBC News Yoruba news on your WhatsApp Join us at End of podcast promotion "Since we are in the PDP political party, we can come out.</v>
      </c>
    </row>
    <row r="1584" ht="15.75" customHeight="1">
      <c r="A1584" s="2" t="s">
        <v>1607</v>
      </c>
      <c r="B1584" s="2" t="str">
        <f>IFERROR(__xludf.DUMMYFUNCTION("GOOGLETRANSLATE(A1584, ""yo"", ""en"")"),"When the people knew that what had happened before, I should prosecute him, they gave him patience and prayed to God that he did not help our real people.")</f>
        <v>When the people knew that what had happened before, I should prosecute him, they gave him patience and prayed to God that he did not help our real people.</v>
      </c>
    </row>
    <row r="1585" ht="15.75" customHeight="1">
      <c r="A1585" s="2" t="s">
        <v>1608</v>
      </c>
      <c r="B1585" s="2" t="str">
        <f>IFERROR(__xludf.DUMMYFUNCTION("GOOGLETRANSLATE(A1585, ""yo"", ""en"")"),"The BBC also heard that many leaders in the PDP political party followed Jonathan to Gambia last week with the intention of telling him that he is not running for the presidency.")</f>
        <v>The BBC also heard that many leaders in the PDP political party followed Jonathan to Gambia last week with the intention of telling him that he is not running for the presidency.</v>
      </c>
    </row>
    <row r="1586" ht="15.75" customHeight="1">
      <c r="A1586" s="2" t="s">
        <v>1609</v>
      </c>
      <c r="B1586" s="2" t="str">
        <f>IFERROR(__xludf.DUMMYFUNCTION("GOOGLETRANSLATE(A1586, ""yo"", ""en"")"),"On this occasion, Malam Ibrahim Abdullahi, the president once saw signs that he would accept the call from the PDP, and he has also left behind things that could get in the way.")</f>
        <v>On this occasion, Malam Ibrahim Abdullahi, the president once saw signs that he would accept the call from the PDP, and he has also left behind things that could get in the way.</v>
      </c>
    </row>
    <row r="1587" ht="15.75" customHeight="1">
      <c r="A1587" s="2" t="s">
        <v>1610</v>
      </c>
      <c r="B1587" s="2" t="str">
        <f>IFERROR(__xludf.DUMMYFUNCTION("GOOGLETRANSLATE(A1587, ""yo"", ""en"")"),"He said, ""he has been talking to people, and he is giving them what can make him compete for the position of president."" A political scientist, Professor Abubakar Kari of the University of Abuja, believes that this will cause a lot of confusion in the 2"&amp;"027 election.")</f>
        <v>He said, "he has been talking to people, and he is giving them what can make him compete for the position of president." A political scientist, Professor Abubakar Kari of the University of Abuja, believes that this will cause a lot of confusion in the 2027 election.</v>
      </c>
    </row>
    <row r="1588" ht="15.75" customHeight="1">
      <c r="A1588" s="2" t="s">
        <v>1611</v>
      </c>
      <c r="B1588" s="2" t="str">
        <f>IFERROR(__xludf.DUMMYFUNCTION("GOOGLETRANSLATE(A1588, ""yo"", ""en"")"),"He said, ""if Goodluck contests, new momentum will come to the PDP, which they need for a long time.")</f>
        <v>He said, "if Goodluck contests, new momentum will come to the PDP, which they need for a long time.</v>
      </c>
    </row>
    <row r="1589" ht="15.75" customHeight="1">
      <c r="A1589" s="2" t="s">
        <v>1612</v>
      </c>
      <c r="B1589" s="2" t="str">
        <f>IFERROR(__xludf.DUMMYFUNCTION("GOOGLETRANSLATE(A1589, ""yo"", ""en"")"),"I believe that the exit of Goodluck Jonathan will cause a backlash against the political parties that have gathered because we believe that they will be a big opposition."" Well, my news also came out that the PDP is talking to the former governor of Kano"&amp;" state, Senator Rabiu Musa Kwankawso, to come out as a deputy with Goodluck Jonathan.")</f>
        <v>I believe that the exit of Goodluck Jonathan will cause a backlash against the political parties that have gathered because we believe that they will be a big opposition." Well, my news also came out that the PDP is talking to the former governor of Kano state, Senator Rabiu Musa Kwankawso, to come out as a deputy with Goodluck Jonathan.</v>
      </c>
    </row>
    <row r="1590" ht="15.75" customHeight="1">
      <c r="A1590" s="2" t="s">
        <v>1613</v>
      </c>
      <c r="B1590" s="2" t="str">
        <f>IFERROR(__xludf.DUMMYFUNCTION("GOOGLETRANSLATE(A1590, ""yo"", ""en"")"),"The law, which the labor union said will lead to the appointment of the Nigerian government, was approved on Thursday, after a meeting of the Nigerian executive committee.")</f>
        <v>The law, which the labor union said will lead to the appointment of the Nigerian government, was approved on Thursday, after a meeting of the Nigerian executive committee.</v>
      </c>
    </row>
    <row r="1591" ht="15.75" customHeight="1">
      <c r="A1591" s="2" t="s">
        <v>1614</v>
      </c>
      <c r="B1591" s="2" t="str">
        <f>IFERROR(__xludf.DUMMYFUNCTION("GOOGLETRANSLATE(A1591, ""yo"", ""en"")"),"The Minister of Information and Broadcasting, Mohammed Idris, announced the law after a meeting.")</f>
        <v>The Minister of Information and Broadcasting, Mohammed Idris, announced the law after a meeting.</v>
      </c>
    </row>
    <row r="1592" ht="15.75" customHeight="1">
      <c r="A1592" s="2" t="s">
        <v>1615</v>
      </c>
      <c r="B1592" s="2" t="str">
        <f>IFERROR(__xludf.DUMMYFUNCTION("GOOGLETRANSLATE(A1592, ""yo"", ""en"")"),"Mohammed explained that this new law will be a guide for business leaders, employers, government and organizations across Nigeria.")</f>
        <v>Mohammed explained that this new law will be a guide for business leaders, employers, government and organizations across Nigeria.</v>
      </c>
    </row>
    <row r="1593" ht="15.75" customHeight="1">
      <c r="A1593" s="2" t="s">
        <v>1616</v>
      </c>
      <c r="B1593" s="2" t="str">
        <f>IFERROR(__xludf.DUMMYFUNCTION("GOOGLETRANSLATE(A1593, ""yo"", ""en"")"),"It will also allow for the use of technology around the world, as Mohammed said.")</f>
        <v>It will also allow for the use of technology around the world, as Mohammed said.</v>
      </c>
    </row>
    <row r="1594" ht="15.75" customHeight="1">
      <c r="A1594" s="2" t="s">
        <v>1617</v>
      </c>
      <c r="B1594" s="2" t="str">
        <f>IFERROR(__xludf.DUMMYFUNCTION("GOOGLETRANSLATE(A1594, ""yo"", ""en"")"),"The policy that will guide the decision of the workers in the NLC is that they will not tolerate it.")</f>
        <v>The policy that will guide the decision of the workers in the NLC is that they will not tolerate it.</v>
      </c>
    </row>
    <row r="1595" ht="15.75" customHeight="1">
      <c r="A1595" s="2" t="s">
        <v>1618</v>
      </c>
      <c r="B1595" s="2" t="str">
        <f>IFERROR(__xludf.DUMMYFUNCTION("GOOGLETRANSLATE(A1595, ""yo"", ""en"")"),"BBC News Yoruba news on your WhatsApp Join us where In a press release signed by the President of the labor union, Joe Ajaero, there is a real consensus, that in all the procedures of the organization that formulates procedures for the workers, the one th"&amp;"at has to do with the assignment is taken by the government.")</f>
        <v>BBC News Yoruba news on your WhatsApp Join us where In a press release signed by the President of the labor union, Joe Ajaero, there is a real consensus, that in all the procedures of the organization that formulates procedures for the workers, the one that has to do with the assignment is taken by the government.</v>
      </c>
    </row>
    <row r="1596" ht="15.75" customHeight="1">
      <c r="A1596" s="2" t="s">
        <v>1619</v>
      </c>
      <c r="B1596" s="2" t="str">
        <f>IFERROR(__xludf.DUMMYFUNCTION("GOOGLETRANSLATE(A1596, ""yo"", ""en"")"),"They have this that is washing them on it and they take that.")</f>
        <v>They have this that is washing them on it and they take that.</v>
      </c>
    </row>
    <row r="1597" ht="15.75" customHeight="1">
      <c r="A1597" s="2" t="s">
        <v>1620</v>
      </c>
      <c r="B1597" s="2" t="str">
        <f>IFERROR(__xludf.DUMMYFUNCTION("GOOGLETRANSLATE(A1597, ""yo"", ""en"")"),"""The press they put out has revealed what the elected officials think about us workers and the public.")</f>
        <v>"The press they put out has revealed what the elected officials think about us workers and the public.</v>
      </c>
    </row>
    <row r="1598" ht="15.75" customHeight="1">
      <c r="A1598" s="2" t="s">
        <v>1621</v>
      </c>
      <c r="B1598" s="2" t="str">
        <f>IFERROR(__xludf.DUMMYFUNCTION("GOOGLETRANSLATE(A1598, ""yo"", ""en"")"),"""It is the right for the employee or trade union to choose, and no one can remove it under the law."" That's what the NLC press says, and it's against the government.")</f>
        <v>"It is the right for the employee or trade union to choose, and no one can remove it under the law." That's what the NLC press says, and it's against the government.</v>
      </c>
    </row>
    <row r="1599" ht="15.75" customHeight="1">
      <c r="A1599" s="2" t="s">
        <v>1622</v>
      </c>
      <c r="B1599" s="2" t="str">
        <f>IFERROR(__xludf.DUMMYFUNCTION("GOOGLETRANSLATE(A1599, ""yo"", ""en"")"),"Likewise, the labor union expressed their displeasure with how the government used the hand of power to change the tripartite agreement that returned the unions.")</f>
        <v>Likewise, the labor union expressed their displeasure with how the government used the hand of power to change the tripartite agreement that returned the unions.</v>
      </c>
    </row>
    <row r="1600" ht="15.75" customHeight="1">
      <c r="A1600" s="2" t="s">
        <v>1623</v>
      </c>
      <c r="B1600" s="2" t="str">
        <f>IFERROR(__xludf.DUMMYFUNCTION("GOOGLETRANSLATE(A1600, ""yo"", ""en"")"),"The agreement between the government, the employer and the workers are the ones who have kissed each other.")</f>
        <v>The agreement between the government, the employer and the workers are the ones who have kissed each other.</v>
      </c>
    </row>
    <row r="1601" ht="15.75" customHeight="1">
      <c r="A1601" s="2" t="s">
        <v>1624</v>
      </c>
      <c r="B1601" s="2" t="str">
        <f>IFERROR(__xludf.DUMMYFUNCTION("GOOGLETRANSLATE(A1601, ""yo"", ""en"")"),"The NLC stated that the Nigerian government is taking steps to criminalize the practice of NIRPs, as well as the newly emerging group.")</f>
        <v>The NLC stated that the Nigerian government is taking steps to criminalize the practice of NIRPs, as well as the newly emerging group.</v>
      </c>
    </row>
    <row r="1602" ht="15.75" customHeight="1">
      <c r="A1602" s="2" t="s">
        <v>1625</v>
      </c>
      <c r="B1602" s="2" t="str">
        <f>IFERROR(__xludf.DUMMYFUNCTION("GOOGLETRANSLATE(A1602, ""yo"", ""en"")"),"The trade union press continued, that the opposition to this move was because it contradicted the 1999 law, the labor clause which allowed the labor union to strike under the law.")</f>
        <v>The trade union press continued, that the opposition to this move was because it contradicted the 1999 law, the labor clause which allowed the labor union to strike under the law.</v>
      </c>
    </row>
    <row r="1603" ht="15.75" customHeight="1">
      <c r="A1603" s="2" t="s">
        <v>1626</v>
      </c>
      <c r="B1603" s="2" t="str">
        <f>IFERROR(__xludf.DUMMYFUNCTION("GOOGLETRANSLATE(A1603, ""yo"", ""en"")"),"According to the NLC, this law has been in place for a long time, and it is only for work-related matters.")</f>
        <v>According to the NLC, this law has been in place for a long time, and it is only for work-related matters.</v>
      </c>
    </row>
    <row r="1604" ht="15.75" customHeight="1">
      <c r="A1604" s="2" t="s">
        <v>1627</v>
      </c>
      <c r="B1604" s="2" t="str">
        <f>IFERROR(__xludf.DUMMYFUNCTION("GOOGLETRANSLATE(A1604, ""yo"", ""en"")"),"They have but the Nigerian government only likes to take the part that opposes this mandate.")</f>
        <v>They have but the Nigerian government only likes to take the part that opposes this mandate.</v>
      </c>
    </row>
    <row r="1605" ht="15.75" customHeight="1">
      <c r="A1605" s="2" t="s">
        <v>1628</v>
      </c>
      <c r="B1605" s="2" t="str">
        <f>IFERROR(__xludf.DUMMYFUNCTION("GOOGLETRANSLATE(A1605, ""yo"", ""en"")"),"Reports say that the seven-day warning of the union of nurses and midwives extended last week, led the government to initiate this new action.")</f>
        <v>Reports say that the seven-day warning of the union of nurses and midwives extended last week, led the government to initiate this new action.</v>
      </c>
    </row>
    <row r="1606" ht="15.75" customHeight="1">
      <c r="A1606" s="2" t="s">
        <v>813</v>
      </c>
      <c r="B1606" s="2" t="str">
        <f>IFERROR(__xludf.DUMMYFUNCTION("GOOGLETRANSLATE(A1606, ""yo"", ""en"")"),"On Wednesday, the second day of July, the coalition of opposition parties announced that they have chosen the African Democratic Congress (ADC) as the political party they will use.")</f>
        <v>On Wednesday, the second day of July, the coalition of opposition parties announced that they have chosen the African Democratic Congress (ADC) as the political party they will use.</v>
      </c>
    </row>
    <row r="1607" ht="15.75" customHeight="1">
      <c r="A1607" s="2" t="s">
        <v>814</v>
      </c>
      <c r="B1607" s="2" t="str">
        <f>IFERROR(__xludf.DUMMYFUNCTION("GOOGLETRANSLATE(A1607, ""yo"", ""en"")"),"You will remember that since about three months ago, the presidential candidate of the Peoples Democratic Party, PDP, Atiku Abubakar has announced that he and some of Tinubu's opponents are gathering to find a way to replace Tinubu as president in 2027.")</f>
        <v>You will remember that since about three months ago, the presidential candidate of the Peoples Democratic Party, PDP, Atiku Abubakar has announced that he and some of Tinubu's opponents are gathering to find a way to replace Tinubu as president in 2027.</v>
      </c>
    </row>
    <row r="1608" ht="15.75" customHeight="1">
      <c r="A1608" s="2" t="s">
        <v>815</v>
      </c>
      <c r="B1608" s="2" t="str">
        <f>IFERROR(__xludf.DUMMYFUNCTION("GOOGLETRANSLATE(A1608, ""yo"", ""en"")"),"Among those who are in this conflict are Atiku Abubakar, Peter Obi, David Mark, Rauf Aregbesola, Rotimi Amaechi, Nasir El-Rufai and so on.")</f>
        <v>Among those who are in this conflict are Atiku Abubakar, Peter Obi, David Mark, Rauf Aregbesola, Rotimi Amaechi, Nasir El-Rufai and so on.</v>
      </c>
    </row>
    <row r="1609" ht="15.75" customHeight="1">
      <c r="A1609" s="2" t="s">
        <v>816</v>
      </c>
      <c r="B1609" s="2" t="str">
        <f>IFERROR(__xludf.DUMMYFUNCTION("GOOGLETRANSLATE(A1609, ""yo"", ""en"")"),"For the past three days, there has been a debate on the political party that the opposition will choose before they announce that ADC will be the one they will use during the upcoming election to oppose Tinubu.")</f>
        <v>For the past three days, there has been a debate on the political party that the opposition will choose before they announce that ADC will be the one they will use during the upcoming election to oppose Tinubu.</v>
      </c>
    </row>
    <row r="1610" ht="15.75" customHeight="1">
      <c r="A1610" s="2" t="s">
        <v>817</v>
      </c>
      <c r="B1610" s="2" t="str">
        <f>IFERROR(__xludf.DUMMYFUNCTION("GOOGLETRANSLATE(A1610, ""yo"", ""en"")"),"When the political party was announced, David Mark and Rauf Aregbesola were appointed as the chairman and secretary of the party, and took over from the previous leaders of the party.")</f>
        <v>When the political party was announced, David Mark and Rauf Aregbesola were appointed as the chairman and secretary of the party, and took over from the previous leaders of the party.</v>
      </c>
    </row>
    <row r="1611" ht="15.75" customHeight="1">
      <c r="A1611" s="2" t="s">
        <v>818</v>
      </c>
      <c r="B1611" s="2" t="str">
        <f>IFERROR(__xludf.DUMMYFUNCTION("GOOGLETRANSLATE(A1611, ""yo"", ""en"")"),"A political scientist in Nigeria, Dr. Gbade Ojo told the BBC that there is nothing wrong for a political party to find a way to flourish, to be seen in the political arena.")</f>
        <v>A political scientist in Nigeria, Dr. Gbade Ojo told the BBC that there is nothing wrong for a political party to find a way to flourish, to be seen in the political arena.</v>
      </c>
    </row>
    <row r="1612" ht="15.75" customHeight="1">
      <c r="A1612" s="2" t="s">
        <v>819</v>
      </c>
      <c r="B1612" s="2" t="str">
        <f>IFERROR(__xludf.DUMMYFUNCTION("GOOGLETRANSLATE(A1612, ""yo"", ""en"")"),"BBC News Yoruba news on your WhatsApp Join us at End of podcast promotion Gbade Ojo itself, the ADC party officials have given up to new people to take over the leadership of their party so that they can ease the upcoming election process.")</f>
        <v>BBC News Yoruba news on your WhatsApp Join us at End of podcast promotion Gbade Ojo itself, the ADC party officials have given up to new people to take over the leadership of their party so that they can ease the upcoming election process.</v>
      </c>
    </row>
    <row r="1613" ht="15.75" customHeight="1">
      <c r="A1613" s="2" t="s">
        <v>820</v>
      </c>
      <c r="B1613" s="2" t="str">
        <f>IFERROR(__xludf.DUMMYFUNCTION("GOOGLETRANSLATE(A1613, ""yo"", ""en"")"),"""The dignity of a political party is to be in the government, a political party that cannot win the government, that does not win any territory is not a political party.")</f>
        <v>"The dignity of a political party is to be in the government, a political party that cannot win the government, that does not win any territory is not a political party.</v>
      </c>
    </row>
    <row r="1614" ht="15.75" customHeight="1">
      <c r="A1614" s="2" t="s">
        <v>821</v>
      </c>
      <c r="B1614" s="2" t="str">
        <f>IFERROR(__xludf.DUMMYFUNCTION("GOOGLETRANSLATE(A1614, ""yo"", ""en"")"),"""If they surrender to them, it will not have any negative effect on their group, their group will become more popular."" He felt that if they decided to hand over the management of the party to the new people, without any reason to sue him in the future,"&amp;" he said that they did it deliberately to make their party more famous.")</f>
        <v>"If they surrender to them, it will not have any negative effect on their group, their group will become more popular." He felt that if they decided to hand over the management of the party to the new people, without any reason to sue him in the future, he said that they did it deliberately to make their party more famous.</v>
      </c>
    </row>
    <row r="1615" ht="15.75" customHeight="1">
      <c r="A1615" s="2" t="s">
        <v>823</v>
      </c>
      <c r="B1615" s="2" t="str">
        <f>IFERROR(__xludf.DUMMYFUNCTION("GOOGLETRANSLATE(A1615, ""yo"", ""en"")"),"He added that according to the law, when they hold a group conference, the appointment of people to the position of authority takes place and that those who are appointed to this position are just as if they had been appointed before the conference.")</f>
        <v>He added that according to the law, when they hold a group conference, the appointment of people to the position of authority takes place and that those who are appointed to this position are just as if they had been appointed before the conference.</v>
      </c>
    </row>
    <row r="1616" ht="15.75" customHeight="1">
      <c r="A1616" s="2" t="s">
        <v>824</v>
      </c>
      <c r="B1616" s="2" t="str">
        <f>IFERROR(__xludf.DUMMYFUNCTION("GOOGLETRANSLATE(A1616, ""yo"", ""en"")"),"""At their conference, they will vote for the new party officials. The law allows the party officials to resign when they want, and they will appoint others in their place before the next conference."" For Festus Adedayo, he said although it is not a bad "&amp;"thing that the political party is looking for a way to facilitate the upcoming election process by allowing the community of people to join him, he said it is not appropriate that the political party will present its important positions to outsiders.")</f>
        <v>"At their conference, they will vote for the new party officials. The law allows the party officials to resign when they want, and they will appoint others in their place before the next conference." For Festus Adedayo, he said although it is not a bad thing that the political party is looking for a way to facilitate the upcoming election process by allowing the community of people to join him, he said it is not appropriate that the political party will present its important positions to outsiders.</v>
      </c>
    </row>
    <row r="1617" ht="15.75" customHeight="1">
      <c r="A1617" s="2" t="s">
        <v>825</v>
      </c>
      <c r="B1617" s="2" t="str">
        <f>IFERROR(__xludf.DUMMYFUNCTION("GOOGLETRANSLATE(A1617, ""yo"", ""en"")"),"He said that he believed that some negotiations would have taken place before the word was published, and that they would have had some agreements that they had kissed on.")</f>
        <v>He said that he believed that some negotiations would have taken place before the word was published, and that they would have had some agreements that they had kissed on.</v>
      </c>
    </row>
    <row r="1618" ht="15.75" customHeight="1">
      <c r="A1618" s="2" t="s">
        <v>826</v>
      </c>
      <c r="B1618" s="2" t="str">
        <f>IFERROR(__xludf.DUMMYFUNCTION("GOOGLETRANSLATE(A1618, ""yo"", ""en"")"),"David Mark and Rauf Aregbesola were given the political membership card at the meeting where ADC was announced as the political party that the opposition wants to use to challenge Tinubu.")</f>
        <v>David Mark and Rauf Aregbesola were given the political membership card at the meeting where ADC was announced as the political party that the opposition wants to use to challenge Tinubu.</v>
      </c>
    </row>
    <row r="1619" ht="15.75" customHeight="1">
      <c r="A1619" s="2" t="s">
        <v>802</v>
      </c>
      <c r="B1619" s="2" t="str">
        <f>IFERROR(__xludf.DUMMYFUNCTION("GOOGLETRANSLATE(A1619, ""yo"", ""en"")"),"Earlier this season, the APC political party in Osun state had those who expelled Aregbesola from the political party for allegations that he was working against the party.")</f>
        <v>Earlier this season, the APC political party in Osun state had those who expelled Aregbesola from the political party for allegations that he was working against the party.</v>
      </c>
    </row>
    <row r="1620" ht="15.75" customHeight="1">
      <c r="A1620" s="2" t="s">
        <v>803</v>
      </c>
      <c r="B1620" s="2" t="str">
        <f>IFERROR(__xludf.DUMMYFUNCTION("GOOGLETRANSLATE(A1620, ""yo"", ""en"")"),"Similarly, David Mark has written his resignation saying that he is no longer part of the PDP political party.")</f>
        <v>Similarly, David Mark has written his resignation saying that he is no longer part of the PDP political party.</v>
      </c>
    </row>
    <row r="1621" ht="15.75" customHeight="1">
      <c r="A1621" s="2" t="s">
        <v>804</v>
      </c>
      <c r="B1621" s="2" t="str">
        <f>IFERROR(__xludf.DUMMYFUNCTION("GOOGLETRANSLATE(A1621, ""yo"", ""en"")"),"The question on many people's minds is what will happen to Peter Obi, Atiku Abubakar, Nasir El-Rufai and so on who have a political party other than the ADC that they have been fighting for.")</f>
        <v>The question on many people's minds is what will happen to Peter Obi, Atiku Abubakar, Nasir El-Rufai and so on who have a political party other than the ADC that they have been fighting for.</v>
      </c>
    </row>
    <row r="1622" ht="15.75" customHeight="1">
      <c r="A1622" s="2" t="s">
        <v>827</v>
      </c>
      <c r="B1622" s="2" t="str">
        <f>IFERROR(__xludf.DUMMYFUNCTION("GOOGLETRANSLATE(A1622, ""yo"", ""en"")"),"According to Dr. Gbade Ojo, there is a law that governs the electoral system in Nigeria, the ""Electoral Act"", which states that if a political party does not support a person, there is an opportunity to write to leave the party.")</f>
        <v>According to Dr. Gbade Ojo, there is a law that governs the electoral system in Nigeria, the "Electoral Act", which states that if a political party does not support a person, there is an opportunity to write to leave the party.</v>
      </c>
    </row>
    <row r="1623" ht="15.75" customHeight="1">
      <c r="A1623" s="2" t="s">
        <v>806</v>
      </c>
      <c r="B1623" s="2" t="str">
        <f>IFERROR(__xludf.DUMMYFUNCTION("GOOGLETRANSLATE(A1623, ""yo"", ""en"")"),"He said that even though the law does not allow a person to be a member of two political parties, a person can burn a yam and use a knife.")</f>
        <v>He said that even though the law does not allow a person to be a member of two political parties, a person can burn a yam and use a knife.</v>
      </c>
    </row>
    <row r="1624" ht="15.75" customHeight="1">
      <c r="A1624" s="2" t="s">
        <v>807</v>
      </c>
      <c r="B1624" s="2" t="str">
        <f>IFERROR(__xludf.DUMMYFUNCTION("GOOGLETRANSLATE(A1624, ""yo"", ""en"")"),"He explained that those who are gathering themselves are trying to prepare for the 2027 election.")</f>
        <v>He explained that those who are gathering themselves are trying to prepare for the 2027 election.</v>
      </c>
    </row>
    <row r="1625" ht="15.75" customHeight="1">
      <c r="A1625" s="2" t="s">
        <v>808</v>
      </c>
      <c r="B1625" s="2" t="str">
        <f>IFERROR(__xludf.DUMMYFUNCTION("GOOGLETRANSLATE(A1625, ""yo"", ""en"")"),"He said that when six months are left for the election process, according to the law, the people will know the river where they will pour thousands.")</f>
        <v>He said that when six months are left for the election process, according to the law, the people will know the river where they will pour thousands.</v>
      </c>
    </row>
    <row r="1626" ht="15.75" customHeight="1">
      <c r="A1626" s="2" t="s">
        <v>809</v>
      </c>
      <c r="B1626" s="2" t="str">
        <f>IFERROR(__xludf.DUMMYFUNCTION("GOOGLETRANSLATE(A1626, ""yo"", ""en"")"),"""Those who have not left their political party are lucky until the election process will be six months before they write to leave the party.")</f>
        <v>"Those who have not left their political party are lucky until the election process will be six months before they write to leave the party.</v>
      </c>
    </row>
    <row r="1627" ht="15.75" customHeight="1">
      <c r="A1627" s="2" t="s">
        <v>810</v>
      </c>
      <c r="B1627" s="2" t="str">
        <f>IFERROR(__xludf.DUMMYFUNCTION("GOOGLETRANSLATE(A1627, ""yo"", ""en"")"),"""He has the number of months that the law says that a person must spend in a new party before he can pick up the ballot box.")</f>
        <v>"He has the number of months that the law says that a person must spend in a new party before he can pick up the ballot box.</v>
      </c>
    </row>
    <row r="1628" ht="15.75" customHeight="1">
      <c r="A1628" s="2" t="s">
        <v>811</v>
      </c>
      <c r="B1628" s="2" t="str">
        <f>IFERROR(__xludf.DUMMYFUNCTION("GOOGLETRANSLATE(A1628, ""yo"", ""en"")"),"""If they know where ADC is going, they will either resign or return to their previous group, they want to know how the system will be arranged in the new group they are going to.")</f>
        <v>"If they know where ADC is going, they will either resign or return to their previous group, they want to know how the system will be arranged in the new group they are going to.</v>
      </c>
    </row>
    <row r="1629" ht="15.75" customHeight="1">
      <c r="A1629" s="2" t="s">
        <v>812</v>
      </c>
      <c r="B1629" s="2" t="str">
        <f>IFERROR(__xludf.DUMMYFUNCTION("GOOGLETRANSLATE(A1629, ""yo"", ""en"")"),"Festus Adedayo said that he has faith that the people will resign from the political party they are in before they hold the election because it can cause them not to sink the position they are looking for.")</f>
        <v>Festus Adedayo said that he has faith that the people will resign from the political party they are in before they hold the election because it can cause them not to sink the position they are looking for.</v>
      </c>
    </row>
    <row r="1630" ht="15.75" customHeight="1">
      <c r="A1630" s="2" t="s">
        <v>828</v>
      </c>
      <c r="B1630" s="2" t="str">
        <f>IFERROR(__xludf.DUMMYFUNCTION("GOOGLETRANSLATE(A1630, ""yo"", ""en"")"),"He represented the southern region of Benue state for many years in the parliament, and he was the president of the parliament for eight years between 2007 and 2015 under the banner of the Peoples Democratic Party, PDP.")</f>
        <v>He represented the southern region of Benue state for many years in the parliament, and he was the president of the parliament for eight years between 2007 and 2015 under the banner of the Peoples Democratic Party, PDP.</v>
      </c>
    </row>
    <row r="1631" ht="15.75" customHeight="1">
      <c r="A1631" s="2" t="s">
        <v>829</v>
      </c>
      <c r="B1631" s="2" t="str">
        <f>IFERROR(__xludf.DUMMYFUNCTION("GOOGLETRANSLATE(A1631, ""yo"", ""en"")"),"At a young age, David Mark announced that he has left the PDP political party and has joined the opposition coalition to establish the nation of Nigeria and to ensure that the Awawara government system continues.")</f>
        <v>At a young age, David Mark announced that he has left the PDP political party and has joined the opposition coalition to establish the nation of Nigeria and to ensure that the Awawara government system continues.</v>
      </c>
    </row>
    <row r="1632" ht="15.75" customHeight="1">
      <c r="A1632" s="2" t="s">
        <v>830</v>
      </c>
      <c r="B1632" s="2" t="str">
        <f>IFERROR(__xludf.DUMMYFUNCTION("GOOGLETRANSLATE(A1632, ""yo"", ""en"")"),"Mr. Rauf Aregbesola was formerly Tinubu's right hand man as people used to call him.")</f>
        <v>Mr. Rauf Aregbesola was formerly Tinubu's right hand man as people used to call him.</v>
      </c>
    </row>
    <row r="1633" ht="15.75" customHeight="1">
      <c r="A1633" s="2" t="s">
        <v>831</v>
      </c>
      <c r="B1633" s="2" t="str">
        <f>IFERROR(__xludf.DUMMYFUNCTION("GOOGLETRANSLATE(A1633, ""yo"", ""en"")"),"All the eight years that Tinubu was governor of Lagos State, Aregbesola was a commissioner under him.")</f>
        <v>All the eight years that Tinubu was governor of Lagos State, Aregbesola was a commissioner under him.</v>
      </c>
    </row>
    <row r="1634" ht="15.75" customHeight="1">
      <c r="A1634" s="2" t="s">
        <v>832</v>
      </c>
      <c r="B1634" s="2" t="str">
        <f>IFERROR(__xludf.DUMMYFUNCTION("GOOGLETRANSLATE(A1634, ""yo"", ""en"")"),"Later he ran for the governorship of Osun state and entered with the support of Tinubu.")</f>
        <v>Later he ran for the governorship of Osun state and entered with the support of Tinubu.</v>
      </c>
    </row>
    <row r="1635" ht="15.75" customHeight="1">
      <c r="A1635" s="2" t="s">
        <v>833</v>
      </c>
      <c r="B1635" s="2" t="str">
        <f>IFERROR(__xludf.DUMMYFUNCTION("GOOGLETRANSLATE(A1635, ""yo"", ""en"")"),"Aregbesola spent eight years as the governor of Osun state.")</f>
        <v>Aregbesola spent eight years as the governor of Osun state.</v>
      </c>
    </row>
    <row r="1636" ht="15.75" customHeight="1">
      <c r="A1636" s="2" t="s">
        <v>834</v>
      </c>
      <c r="B1636" s="2" t="str">
        <f>IFERROR(__xludf.DUMMYFUNCTION("GOOGLETRANSLATE(A1636, ""yo"", ""en"")"),"The rift between Adegboyega Oyetola who was the governor of Osun after Aregbesola is one of the reasons for the lack of unity between him and Tinubu.")</f>
        <v>The rift between Adegboyega Oyetola who was the governor of Osun after Aregbesola is one of the reasons for the lack of unity between him and Tinubu.</v>
      </c>
    </row>
    <row r="1637" ht="15.75" customHeight="1">
      <c r="A1637" s="2" t="s">
        <v>835</v>
      </c>
      <c r="B1637" s="2" t="str">
        <f>IFERROR(__xludf.DUMMYFUNCTION("GOOGLETRANSLATE(A1637, ""yo"", ""en"")"),"Aregbesola is now the secretary of the ADC political party and he said in his speech that the work they have done is not a small task at all but they will do their best to rip off the fighters.")</f>
        <v>Aregbesola is now the secretary of the ADC political party and he said in his speech that the work they have done is not a small task at all but they will do their best to rip off the fighters.</v>
      </c>
    </row>
    <row r="1638" ht="15.75" customHeight="1">
      <c r="A1638" s="2" t="s">
        <v>836</v>
      </c>
      <c r="B1638" s="2" t="str">
        <f>IFERROR(__xludf.DUMMYFUNCTION("GOOGLETRANSLATE(A1638, ""yo"", ""en"")"),"Atiku Abubakar, a former vice president of Nigeria, was one of the founders of the APC political party in 2015.")</f>
        <v>Atiku Abubakar, a former vice president of Nigeria, was one of the founders of the APC political party in 2015.</v>
      </c>
    </row>
    <row r="1639" ht="15.75" customHeight="1">
      <c r="A1639" s="2" t="s">
        <v>837</v>
      </c>
      <c r="B1639" s="2" t="str">
        <f>IFERROR(__xludf.DUMMYFUNCTION("GOOGLETRANSLATE(A1639, ""yo"", ""en"")"),"He was one of the leaders who formed the New-PDP that year before they joined the APC before the general election but returned to the PDP and is a presidential candidate in 2019 and 2023.")</f>
        <v>He was one of the leaders who formed the New-PDP that year before they joined the APC before the general election but returned to the PDP and is a presidential candidate in 2019 and 2023.</v>
      </c>
    </row>
    <row r="1640" ht="15.75" customHeight="1">
      <c r="A1640" s="2" t="s">
        <v>838</v>
      </c>
      <c r="B1640" s="2" t="str">
        <f>IFERROR(__xludf.DUMMYFUNCTION("GOOGLETRANSLATE(A1640, ""yo"", ""en"")"),"The candidate for the presidency in 2023 with the Labor Party, LP, Peter Obi is among those who founded this new party.")</f>
        <v>The candidate for the presidency in 2023 with the Labor Party, LP, Peter Obi is among those who founded this new party.</v>
      </c>
    </row>
    <row r="1641" ht="15.75" customHeight="1">
      <c r="A1641" s="2" t="s">
        <v>839</v>
      </c>
      <c r="B1641" s="2" t="str">
        <f>IFERROR(__xludf.DUMMYFUNCTION("GOOGLETRANSLATE(A1641, ""yo"", ""en"")"),"Peter Obi was the governor of Anambra state for two terms between 2006 and 2014.")</f>
        <v>Peter Obi was the governor of Anambra state for two terms between 2006 and 2014.</v>
      </c>
    </row>
    <row r="1642" ht="15.75" customHeight="1">
      <c r="A1642" s="2" t="s">
        <v>840</v>
      </c>
      <c r="B1642" s="2" t="str">
        <f>IFERROR(__xludf.DUMMYFUNCTION("GOOGLETRANSLATE(A1642, ""yo"", ""en"")"),"In 2019, he contested as vice president with Atiku Abubakar under the PDP banner before leaving the PDP in 2022 to join the Labor Party.")</f>
        <v>In 2019, he contested as vice president with Atiku Abubakar under the PDP banner before leaving the PDP in 2022 to join the Labor Party.</v>
      </c>
    </row>
    <row r="1643" ht="15.75" customHeight="1">
      <c r="A1643" s="2" t="s">
        <v>841</v>
      </c>
      <c r="B1643" s="2" t="str">
        <f>IFERROR(__xludf.DUMMYFUNCTION("GOOGLETRANSLATE(A1643, ""yo"", ""en"")"),"One of Tinubu's former people was El-Rufai before the conflict between them.")</f>
        <v>One of Tinubu's former people was El-Rufai before the conflict between them.</v>
      </c>
    </row>
    <row r="1644" ht="15.75" customHeight="1">
      <c r="A1644" s="2" t="s">
        <v>842</v>
      </c>
      <c r="B1644" s="2" t="str">
        <f>IFERROR(__xludf.DUMMYFUNCTION("GOOGLETRANSLATE(A1644, ""yo"", ""en"")"),"He is one of those whose names were submitted by the president to the parliament for the position of minister but did not sign.")</f>
        <v>He is one of those whose names were submitted by the president to the parliament for the position of minister but did not sign.</v>
      </c>
    </row>
    <row r="1645" ht="15.75" customHeight="1">
      <c r="A1645" s="2" t="s">
        <v>843</v>
      </c>
      <c r="B1645" s="2" t="str">
        <f>IFERROR(__xludf.DUMMYFUNCTION("GOOGLETRANSLATE(A1645, ""yo"", ""en"")"),"In March, El-Rufai announced that he had resigned as a member of the APC and joined the SDP.")</f>
        <v>In March, El-Rufai announced that he had resigned as a member of the APC and joined the SDP.</v>
      </c>
    </row>
    <row r="1646" ht="15.75" customHeight="1">
      <c r="A1646" s="2" t="s">
        <v>844</v>
      </c>
      <c r="B1646" s="2" t="str">
        <f>IFERROR(__xludf.DUMMYFUNCTION("GOOGLETRANSLATE(A1646, ""yo"", ""en"")"),"El-Rufai, who was the governor of Kaduna state for eight years, is one of the politicians who firmly established this new union.")</f>
        <v>El-Rufai, who was the governor of Kaduna state for eight years, is one of the politicians who firmly established this new union.</v>
      </c>
    </row>
    <row r="1647" ht="15.75" customHeight="1">
      <c r="A1647" s="2" t="s">
        <v>845</v>
      </c>
      <c r="B1647" s="2" t="str">
        <f>IFERROR(__xludf.DUMMYFUNCTION("GOOGLETRANSLATE(A1647, ""yo"", ""en"")"),"Tambuwal served in parliament before becoming governor of Sokoto state where he served for two terms.")</f>
        <v>Tambuwal served in parliament before becoming governor of Sokoto state where he served for two terms.</v>
      </c>
    </row>
    <row r="1648" ht="15.75" customHeight="1">
      <c r="A1648" s="2" t="s">
        <v>846</v>
      </c>
      <c r="B1648" s="2" t="str">
        <f>IFERROR(__xludf.DUMMYFUNCTION("GOOGLETRANSLATE(A1648, ""yo"", ""en"")"),"He was one of those who founded APC in 2015 before returning to PDP in 2018.")</f>
        <v>He was one of those who founded APC in 2015 before returning to PDP in 2018.</v>
      </c>
    </row>
    <row r="1649" ht="15.75" customHeight="1">
      <c r="A1649" s="2" t="s">
        <v>847</v>
      </c>
      <c r="B1649" s="2" t="str">
        <f>IFERROR(__xludf.DUMMYFUNCTION("GOOGLETRANSLATE(A1649, ""yo"", ""en"")"),"Others are Sule Lamido, Babangida Aliyu, Sam Egwu, Liyel Imoke, Uche Secondus, Dino Melaye and so on.")</f>
        <v>Others are Sule Lamido, Babangida Aliyu, Sam Egwu, Liyel Imoke, Uche Secondus, Dino Melaye and so on.</v>
      </c>
    </row>
    <row r="1650" ht="15.75" customHeight="1">
      <c r="A1650" s="2" t="s">
        <v>1629</v>
      </c>
      <c r="B1650" s="2" t="str">
        <f>IFERROR(__xludf.DUMMYFUNCTION("GOOGLETRANSLATE(A1650, ""yo"", ""en"")"),"Four people lost their lives and a lot of property in the fight between the town of Esa-oke and the town of Ido-ayegunle, in Osun state.")</f>
        <v>Four people lost their lives and a lot of property in the fight between the town of Esa-oke and the town of Ido-ayegunle, in Osun state.</v>
      </c>
    </row>
    <row r="1651" ht="15.75" customHeight="1">
      <c r="A1651" s="2" t="s">
        <v>1630</v>
      </c>
      <c r="B1651" s="2" t="str">
        <f>IFERROR(__xludf.DUMMYFUNCTION("GOOGLETRANSLATE(A1651, ""yo"", ""en"")"),"Most of the houses in Ido-Ayegunle have been destroyed after they were set on fire.")</f>
        <v>Most of the houses in Ido-Ayegunle have been destroyed after they were set on fire.</v>
      </c>
    </row>
    <row r="1652" ht="15.75" customHeight="1">
      <c r="A1652" s="2" t="s">
        <v>1631</v>
      </c>
      <c r="B1652" s="2" t="str">
        <f>IFERROR(__xludf.DUMMYFUNCTION("GOOGLETRANSLATE(A1652, ""yo"", ""en"")"),"If you don't forget, from the 30th day of the month of January, 2025, the trouble started when the government of Osun state appointed Oluwatimileyin Ajayi as Chief of Ido Ayegunle.")</f>
        <v>If you don't forget, from the 30th day of the month of January, 2025, the trouble started when the government of Osun state appointed Oluwatimileyin Ajayi as Chief of Ido Ayegunle.</v>
      </c>
    </row>
    <row r="1653" ht="15.75" customHeight="1">
      <c r="A1653" s="2" t="s">
        <v>1632</v>
      </c>
      <c r="B1653" s="2" t="str">
        <f>IFERROR(__xludf.DUMMYFUNCTION("GOOGLETRANSLATE(A1503, ""yo"", ""en"")"),"According to the results of the election announced by INEC, the PDP party's President Oyekunle won 18,404 votes, beating APC's President Adewale Olatunji with 8,312 votes.")</f>
        <v>According to the results of the election announced by INEC, the PDP party's President Oyekunle won 18,404 votes, beating APC's President Adewale Olatunji with 8,312 votes.</v>
      </c>
    </row>
    <row r="1654" ht="15.75" customHeight="1">
      <c r="A1654" s="2" t="s">
        <v>1633</v>
      </c>
      <c r="B1654" s="2" t="str">
        <f>IFERROR(__xludf.DUMMYFUNCTION("GOOGLETRANSLATE(A1654, ""yo"", ""en"")"),"The city of Esa-oke opposes the election of a king and the person chosen by the government as king to the city of Ido-ayegunle.")</f>
        <v>The city of Esa-oke opposes the election of a king and the person chosen by the government as king to the city of Ido-ayegunle.</v>
      </c>
    </row>
    <row r="1655" ht="15.75" customHeight="1">
      <c r="A1655" s="2" t="s">
        <v>1634</v>
      </c>
      <c r="B1655" s="2" t="str">
        <f>IFERROR(__xludf.DUMMYFUNCTION("GOOGLETRANSLATE(A1655, ""yo"", ""en"")"),"The Chiefs of Esa-oke said, Ido-ayegunleh is not a town big enough to receive the King, because Ido-ayegunleh is one of the villages in the town of Esa-oke.")</f>
        <v>The Chiefs of Esa-oke said, Ido-ayegunleh is not a town big enough to receive the King, because Ido-ayegunleh is one of the villages in the town of Esa-oke.</v>
      </c>
    </row>
    <row r="1656" ht="15.75" customHeight="1">
      <c r="A1656" s="2" t="s">
        <v>1635</v>
      </c>
      <c r="B1656" s="2" t="str">
        <f>IFERROR(__xludf.DUMMYFUNCTION("GOOGLETRANSLATE(A1656, ""yo"", ""en"")"),"This led to the attack by Ido-ayegun's people on the city of Esa-oke on 30 days, the month of January, 2025, and they set fire to the palace and the royal car of Esa-oke during the attack.")</f>
        <v>This led to the attack by Ido-ayegun's people on the city of Esa-oke on 30 days, the month of January, 2025, and they set fire to the palace and the royal car of Esa-oke during the attack.</v>
      </c>
    </row>
    <row r="1657" ht="15.75" customHeight="1">
      <c r="A1657" s="2" t="s">
        <v>1636</v>
      </c>
      <c r="B1657" s="2" t="str">
        <f>IFERROR(__xludf.DUMMYFUNCTION("GOOGLETRANSLATE(A1657, ""yo"", ""en"")"),"Apart from the two people who are still being sought, four people have reached the sky and burnt down all the houses in the city, due to the new conflict that broke out on the 19th day of June, 2025 in the town of Ido-ayegunle near Esa-Oke, in the state o"&amp;"f Osun.")</f>
        <v>Apart from the two people who are still being sought, four people have reached the sky and burnt down all the houses in the city, due to the new conflict that broke out on the 19th day of June, 2025 in the town of Ido-ayegunle near Esa-Oke, in the state of Osun.</v>
      </c>
    </row>
    <row r="1658" ht="15.75" customHeight="1">
      <c r="A1658" s="2" t="s">
        <v>1637</v>
      </c>
      <c r="B1658" s="2" t="str">
        <f>IFERROR(__xludf.DUMMYFUNCTION("GOOGLETRANSLATE(A1658, ""yo"", ""en"")"),"According to the Ido-Ayegun City Chief, Ibironke Adebusuyi, at 10:00 a.m. on the 19th of June, the Janduku who claimed to be from Esa Oke entered Ido-Ayegunle and started shooting.")</f>
        <v>According to the Ido-Ayegun City Chief, Ibironke Adebusuyi, at 10:00 a.m. on the 19th of June, the Janduku who claimed to be from Esa Oke entered Ido-Ayegunle and started shooting.</v>
      </c>
    </row>
    <row r="1659" ht="15.75" customHeight="1">
      <c r="A1659" s="2" t="s">
        <v>1638</v>
      </c>
      <c r="B1659" s="2" t="str">
        <f>IFERROR(__xludf.DUMMYFUNCTION("GOOGLETRANSLATE(A1659, ""yo"", ""en"")"),"‎Adebusuyi said that there were about a hundred janduku, one of them was stabbed, and they covered their faces with clothes, but the people recognized some of them.")</f>
        <v>‎Adebusuyi said that there were about a hundred janduku, one of them was stabbed, and they covered their faces with clothes, but the people recognized some of them.</v>
      </c>
    </row>
    <row r="1660" ht="15.75" customHeight="1">
      <c r="A1660" s="2" t="s">
        <v>1639</v>
      </c>
      <c r="B1660" s="2" t="str">
        <f>IFERROR(__xludf.DUMMYFUNCTION("GOOGLETRANSLATE(A1660, ""yo"", ""en"")"),"‎In this new trouble, Adebusuyi further said that the janduku cut off a man's head, and they cut someone's hand.")</f>
        <v>‎In this new trouble, Adebusuyi further said that the janduku cut off a man's head, and they cut someone's hand.</v>
      </c>
    </row>
    <row r="1661" ht="15.75" customHeight="1">
      <c r="A1661" s="2" t="s">
        <v>1640</v>
      </c>
      <c r="B1661" s="2" t="str">
        <f>IFERROR(__xludf.DUMMYFUNCTION("GOOGLETRANSLATE(A1661, ""yo"", ""en"")"),"After killing four people, they threw them into the well, and placed a large stone on top of the well.")</f>
        <v>After killing four people, they threw them into the well, and placed a large stone on top of the well.</v>
      </c>
    </row>
    <row r="1662" ht="15.75" customHeight="1">
      <c r="A1662" s="2" t="s">
        <v>1641</v>
      </c>
      <c r="B1662" s="2" t="str">
        <f>IFERROR(__xludf.DUMMYFUNCTION("GOOGLETRANSLATE(A1662, ""yo"", ""en"")"),"The commissioner in charge of local government and tribal affairs, Dosu Babatunde, explained that the fight that took place between the town of Esa-oke and the town of Ido-ayegunle on the 19th day of June, this year, was not caused by the tribal issue.")</f>
        <v>The commissioner in charge of local government and tribal affairs, Dosu Babatunde, explained that the fight that took place between the town of Esa-oke and the town of Ido-ayegunle on the 19th day of June, this year, was not caused by the tribal issue.</v>
      </c>
    </row>
    <row r="1663" ht="15.75" customHeight="1">
      <c r="A1663" s="2" t="s">
        <v>1642</v>
      </c>
      <c r="B1663" s="2" t="str">
        <f>IFERROR(__xludf.DUMMYFUNCTION("GOOGLETRANSLATE(A1663, ""yo"", ""en"")"),"Dosu is the cause of this fight.")</f>
        <v>Dosu is the cause of this fight.</v>
      </c>
    </row>
    <row r="1664" ht="15.75" customHeight="1">
      <c r="A1664" s="2" t="s">
        <v>1643</v>
      </c>
      <c r="B1664" s="2" t="str">
        <f>IFERROR(__xludf.DUMMYFUNCTION("GOOGLETRANSLATE(A1664, ""yo"", ""en"")"),"He said that the matter has been brought to court and that they have appointed some committees on the matter and they are continuing with their investigation.")</f>
        <v>He said that the matter has been brought to court and that they have appointed some committees on the matter and they are continuing with their investigation.</v>
      </c>
    </row>
    <row r="1665" ht="15.75" customHeight="1">
      <c r="A1665" s="2" t="s">
        <v>1644</v>
      </c>
      <c r="B1665" s="2" t="str">
        <f>IFERROR(__xludf.DUMMYFUNCTION("GOOGLETRANSLATE(A1665, ""yo"", ""en"")"),"Osun Police Commissioner, Abiodun Ojelabi confirmed the incident that four people lost their lives in the incident.")</f>
        <v>Osun Police Commissioner, Abiodun Ojelabi confirmed the incident that four people lost their lives in the incident.</v>
      </c>
    </row>
    <row r="1666" ht="15.75" customHeight="1">
      <c r="A1666" s="2" t="s">
        <v>1645</v>
      </c>
      <c r="B1666" s="2" t="str">
        <f>IFERROR(__xludf.DUMMYFUNCTION("GOOGLETRANSLATE(A1666, ""yo"", ""en"")"),"He added that it is true that they killed some and threw them in the well, and also cut the arms and legs of others in the same well.")</f>
        <v>He added that it is true that they killed some and threw them in the well, and also cut the arms and legs of others in the same well.</v>
      </c>
    </row>
    <row r="1667" ht="15.75" customHeight="1">
      <c r="A1667" s="2" t="s">
        <v>1646</v>
      </c>
      <c r="B1667" s="2" t="str">
        <f>IFERROR(__xludf.DUMMYFUNCTION("GOOGLETRANSLATE(A1667, ""yo"", ""en"")"),"‎Abiodun said that the police commissioner has visited the city, and the land border problem that has existed between the two cities has also caused the incident.")</f>
        <v>‎Abiodun said that the police commissioner has visited the city, and the land border problem that has existed between the two cities has also caused the incident.</v>
      </c>
    </row>
    <row r="1668" ht="15.75" customHeight="1">
      <c r="A1668" s="2" t="s">
        <v>1647</v>
      </c>
      <c r="B1668" s="2" t="str">
        <f>IFERROR(__xludf.DUMMYFUNCTION("GOOGLETRANSLATE(A1668, ""yo"", ""en"")"),"But the investigation is ongoing on the incident in order to bring to light those who did the lab work.")</f>
        <v>But the investigation is ongoing on the incident in order to bring to light those who did the lab work.</v>
      </c>
    </row>
    <row r="1669" ht="15.75" customHeight="1">
      <c r="A1669" s="2" t="s">
        <v>921</v>
      </c>
      <c r="B1669" s="2" t="str">
        <f>IFERROR(__xludf.DUMMYFUNCTION("GOOGLETRANSLATE(A1669, ""yo"", ""en"")"),"It's been a long time since some people have been saying that something is wrong in the party, but the chairman has put all their rumors to rest.")</f>
        <v>It's been a long time since some people have been saying that something is wrong in the party, but the chairman has put all their rumors to rest.</v>
      </c>
    </row>
    <row r="1670" ht="15.75" customHeight="1">
      <c r="A1670" s="2" t="s">
        <v>922</v>
      </c>
      <c r="B1670" s="2" t="str">
        <f>IFERROR(__xludf.DUMMYFUNCTION("GOOGLETRANSLATE(A1670, ""yo"", ""en"")"),"The Director of Publicity and Campaign for the APC, Bala Ibrahim, told the BBC that the reason why Ganduje said that he had to resign was in the health system.")</f>
        <v>The Director of Publicity and Campaign for the APC, Bala Ibrahim, told the BBC that the reason why Ganduje said that he had to resign was in the health system.</v>
      </c>
    </row>
    <row r="1671" ht="15.75" customHeight="1">
      <c r="A1671" s="2" t="s">
        <v>923</v>
      </c>
      <c r="B1671" s="2" t="str">
        <f>IFERROR(__xludf.DUMMYFUNCTION("GOOGLETRANSLATE(A1671, ""yo"", ""en"")"),"""Everyone agrees that Ganduje's decision is a good one, and they agree that he will not go and take care of himself, and the party will focus on doing things that will make him strong, and which will make him unsuccessful in the upcoming elections."" Mr."&amp;" Bala Ibrahim also said that the news that there is no peace in the party is completely false, especially about the resignation of Ganduje.")</f>
        <v>"Everyone agrees that Ganduje's decision is a good one, and they agree that he will not go and take care of himself, and the party will focus on doing things that will make him strong, and which will make him unsuccessful in the upcoming elections." Mr. Bala Ibrahim also said that the news that there is no peace in the party is completely false, especially about the resignation of Ganduje.</v>
      </c>
    </row>
    <row r="1672" ht="15.75" customHeight="1">
      <c r="A1672" s="2" t="s">
        <v>924</v>
      </c>
      <c r="B1672" s="2" t="str">
        <f>IFERROR(__xludf.DUMMYFUNCTION("GOOGLETRANSLATE(A1672, ""yo"", ""en"")"),"He said ""it's just a rumor in the news that no one investigates it enough to put it out, and it is a sin for people not to hear about it."" The spokesperson for the APC political party said, ""On who will replace the outgoing president, the party has a c"&amp;"onstitution that explains how they will choose someone from the north or the south.")</f>
        <v>He said "it's just a rumor in the news that no one investigates it enough to put it out, and it is a sin for people not to hear about it." The spokesperson for the APC political party said, "On who will replace the outgoing president, the party has a constitution that explains how they will choose someone from the north or the south.</v>
      </c>
    </row>
    <row r="1673" ht="15.75" customHeight="1">
      <c r="A1673" s="2" t="s">
        <v>925</v>
      </c>
      <c r="B1673" s="2" t="str">
        <f>IFERROR(__xludf.DUMMYFUNCTION("GOOGLETRANSLATE(A1673, ""yo"", ""en"")"),"""People who come from the area where the chairman who resigned must be elected and not be an interim until the political party election system is held."" He added, ""The outgoing president, Ganduje, is from the North, and Bukar Dalori will be the interim"&amp;" president until another president is elected in the electoral process."" Abdullahi Umar Ganduje resigned after two years as chairman of the All Progressives Congress political party.")</f>
        <v>"People who come from the area where the chairman who resigned must be elected and not be an interim until the political party election system is held." He added, "The outgoing president, Ganduje, is from the North, and Bukar Dalori will be the interim president until another president is elected in the electoral process." Abdullahi Umar Ganduje resigned after two years as chairman of the All Progressives Congress political party.</v>
      </c>
    </row>
    <row r="1674" ht="15.75" customHeight="1">
      <c r="A1674" s="2" t="s">
        <v>926</v>
      </c>
      <c r="B1674" s="2" t="str">
        <f>IFERROR(__xludf.DUMMYFUNCTION("GOOGLETRANSLATE(A1674, ""yo"", ""en"")"),"This action took place after the conflict broke out last week at the APC political party meeting in Northern Nigeria.")</f>
        <v>This action took place after the conflict broke out last week at the APC political party meeting in Northern Nigeria.</v>
      </c>
    </row>
    <row r="1675" ht="15.75" customHeight="1">
      <c r="A1675" s="2" t="s">
        <v>927</v>
      </c>
      <c r="B1675" s="2" t="str">
        <f>IFERROR(__xludf.DUMMYFUNCTION("GOOGLETRANSLATE(A1675, ""yo"", ""en"")"),"Here at the meeting, some members were angry that President Tinubu did not announce his deputy, Kashim Shettima, as the person who will run together as President and Vice President in the 2027 presidential election.")</f>
        <v>Here at the meeting, some members were angry that President Tinubu did not announce his deputy, Kashim Shettima, as the person who will run together as President and Vice President in the 2027 presidential election.</v>
      </c>
    </row>
    <row r="1676" ht="15.75" customHeight="1">
      <c r="A1676" s="2" t="s">
        <v>928</v>
      </c>
      <c r="B1676" s="2" t="str">
        <f>IFERROR(__xludf.DUMMYFUNCTION("GOOGLETRANSLATE(A1676, ""yo"", ""en"")"),"Abdullahi Umar was born in Ganduje village in Dawakin Tofa local government in Kano state in 1949.")</f>
        <v>Abdullahi Umar was born in Ganduje village in Dawakin Tofa local government in Kano state in 1949.</v>
      </c>
    </row>
    <row r="1677" ht="15.75" customHeight="1">
      <c r="A1677" s="2" t="s">
        <v>929</v>
      </c>
      <c r="B1677" s="2" t="str">
        <f>IFERROR(__xludf.DUMMYFUNCTION("GOOGLETRANSLATE(A1677, ""yo"", ""en"")"),"He started reading the Koran and learning about Islam in the village, and went to Dawakin Tofa primary school from 1956 to 1963.")</f>
        <v>He started reading the Koran and learning about Islam in the village, and went to Dawakin Tofa primary school from 1956 to 1963.</v>
      </c>
    </row>
    <row r="1678" ht="15.75" customHeight="1">
      <c r="A1678" s="2" t="s">
        <v>930</v>
      </c>
      <c r="B1678" s="2" t="str">
        <f>IFERROR(__xludf.DUMMYFUNCTION("GOOGLETRANSLATE(A1678, ""yo"", ""en"")"),"Ganduje attended Birnin Kudu Grammar School in 1964 and graduated in 1968.")</f>
        <v>Ganduje attended Birnin Kudu Grammar School in 1964 and graduated in 1968.</v>
      </c>
    </row>
    <row r="1679" ht="15.75" customHeight="1">
      <c r="A1679" s="2" t="s">
        <v>931</v>
      </c>
      <c r="B1679" s="2" t="str">
        <f>IFERROR(__xludf.DUMMYFUNCTION("GOOGLETRANSLATE(A1679, ""yo"", ""en"")"),"He also went to the school for teachers in Kano between 1969 and 1972.")</f>
        <v>He also went to the school for teachers in Kano between 1969 and 1972.</v>
      </c>
    </row>
    <row r="1680" ht="15.75" customHeight="1">
      <c r="A1680" s="2" t="s">
        <v>932</v>
      </c>
      <c r="B1680" s="2" t="str">
        <f>IFERROR(__xludf.DUMMYFUNCTION("GOOGLETRANSLATE(A1680, ""yo"", ""en"")"),"He is the former governor of Kano state, and received his degree in education from Ahmadu Bello University, Zaria, Kaduna state in 1975.")</f>
        <v>He is the former governor of Kano state, and received his degree in education from Ahmadu Bello University, Zaria, Kaduna state in 1975.</v>
      </c>
    </row>
    <row r="1681" ht="15.75" customHeight="1">
      <c r="A1681" s="2" t="s">
        <v>933</v>
      </c>
      <c r="B1681" s="2" t="str">
        <f>IFERROR(__xludf.DUMMYFUNCTION("GOOGLETRANSLATE(A1681, ""yo"", ""en"")"),"In 1979, he obtained a Masters degree from Bayero University, Kano, and returned to Ahmadu Bello University in 1984 to 1985 to study Public Administration.")</f>
        <v>In 1979, he obtained a Masters degree from Bayero University, Kano, and returned to Ahmadu Bello University in 1984 to 1985 to study Public Administration.</v>
      </c>
    </row>
    <row r="1682" ht="15.75" customHeight="1">
      <c r="A1682" s="2" t="s">
        <v>934</v>
      </c>
      <c r="B1682" s="2" t="str">
        <f>IFERROR(__xludf.DUMMYFUNCTION("GOOGLETRANSLATE(A1682, ""yo"", ""en"")"),"He received his PhD from the University of Ibadan in 1993.")</f>
        <v>He received his PhD from the University of Ibadan in 1993.</v>
      </c>
    </row>
    <row r="1683" ht="15.75" customHeight="1">
      <c r="A1683" s="2" t="s">
        <v>935</v>
      </c>
      <c r="B1683" s="2" t="str">
        <f>IFERROR(__xludf.DUMMYFUNCTION("GOOGLETRANSLATE(A1683, ""yo"", ""en"")"),"Ganduje joined the NPN political party during the second civilian government, and was the Deputy Speaker of the Kano State House of Assembly from 1979 to 1980.")</f>
        <v>Ganduje joined the NPN political party during the second civilian government, and was the Deputy Speaker of the Kano State House of Assembly from 1979 to 1980.</v>
      </c>
    </row>
    <row r="1684" ht="15.75" customHeight="1">
      <c r="A1684" s="2" t="s">
        <v>936</v>
      </c>
      <c r="B1684" s="2" t="str">
        <f>IFERROR(__xludf.DUMMYFUNCTION("GOOGLETRANSLATE(A1684, ""yo"", ""en"")"),"He ran for the lower house of parliament in 1979 under the NPN political party but was defeated.")</f>
        <v>He ran for the lower house of parliament in 1979 under the NPN political party but was defeated.</v>
      </c>
    </row>
    <row r="1685" ht="15.75" customHeight="1">
      <c r="A1685" s="2" t="s">
        <v>937</v>
      </c>
      <c r="B1685" s="2" t="str">
        <f>IFERROR(__xludf.DUMMYFUNCTION("GOOGLETRANSLATE(A1685, ""yo"", ""en"")"),"In 1998, he joined the PDP political party and tried to get a ticket for the governorship but again he lost to Rabi'u Musa Kwankwaso.")</f>
        <v>In 1998, he joined the PDP political party and tried to get a ticket for the governorship but again he lost to Rabi'u Musa Kwankwaso.</v>
      </c>
    </row>
    <row r="1686" ht="15.75" customHeight="1">
      <c r="A1686" s="2" t="s">
        <v>938</v>
      </c>
      <c r="B1686" s="2" t="str">
        <f>IFERROR(__xludf.DUMMYFUNCTION("GOOGLETRANSLATE(A1686, ""yo"", ""en"")"),"But Ganduje stepped in as deputy governor for Kwankwaso between 1999 and 2003.")</f>
        <v>But Ganduje stepped in as deputy governor for Kwankwaso between 1999 and 2003.</v>
      </c>
    </row>
    <row r="1687" ht="15.75" customHeight="1">
      <c r="A1687" s="2" t="s">
        <v>939</v>
      </c>
      <c r="B1687" s="2" t="str">
        <f>IFERROR(__xludf.DUMMYFUNCTION("GOOGLETRANSLATE(A1687, ""yo"", ""en"")"),"In the same way, they also came out together and entered Kano between 2011 and 2015.")</f>
        <v>In the same way, they also came out together and entered Kano between 2011 and 2015.</v>
      </c>
    </row>
    <row r="1688" ht="15.75" customHeight="1">
      <c r="A1688" s="2" t="s">
        <v>940</v>
      </c>
      <c r="B1688" s="2" t="str">
        <f>IFERROR(__xludf.DUMMYFUNCTION("GOOGLETRANSLATE(A1688, ""yo"", ""en"")"),"In 2015, Dr.")</f>
        <v>In 2015, Dr.</v>
      </c>
    </row>
    <row r="1689" ht="15.75" customHeight="1">
      <c r="A1689" s="2" t="s">
        <v>941</v>
      </c>
      <c r="B1689" s="2" t="str">
        <f>IFERROR(__xludf.DUMMYFUNCTION("GOOGLETRANSLATE(A1689, ""yo"", ""en"")"),"Abdullahi Umar Ganduje came in as the Governor of Knao state, and served two terms between 2015 and 2023.")</f>
        <v>Abdullahi Umar Ganduje came in as the Governor of Knao state, and served two terms between 2015 and 2023.</v>
      </c>
    </row>
    <row r="1690" ht="15.75" customHeight="1">
      <c r="A1690" s="2" t="s">
        <v>1648</v>
      </c>
      <c r="B1690" s="2" t="str">
        <f>IFERROR(__xludf.DUMMYFUNCTION("GOOGLETRANSLATE(A1690, ""yo"", ""en"")"),"While testifying before Judge Jude Onwuegbuzie in Abuja, Umar Babangida who is an investigator with the EFCC stated that, this is in the memorandum that Obasanjo sent to the EFCC that he did not sign the project to build a power station which the former M"&amp;"inister of Energy and Cold Steel, Olu Agunloye, placed for Sunrise Power.")</f>
        <v>While testifying before Judge Jude Onwuegbuzie in Abuja, Umar Babangida who is an investigator with the EFCC stated that, this is in the memorandum that Obasanjo sent to the EFCC that he did not sign the project to build a power station which the former Minister of Energy and Cold Steel, Olu Agunloye, placed for Sunrise Power.</v>
      </c>
    </row>
    <row r="1691" ht="15.75" customHeight="1">
      <c r="A1691" s="2" t="s">
        <v>1649</v>
      </c>
      <c r="B1691" s="2" t="str">
        <f>IFERROR(__xludf.DUMMYFUNCTION("GOOGLETRANSLATE(A1691, ""yo"", ""en"")"),"In case you forgot, EFCC is suing Agunloye on seven counts of tampering with documents, attacking the president's speech and giving money to someone.")</f>
        <v>In case you forgot, EFCC is suing Agunloye on seven counts of tampering with documents, attacking the president's speech and giving money to someone.</v>
      </c>
    </row>
    <row r="1692" ht="15.75" customHeight="1">
      <c r="A1692" s="2" t="s">
        <v>1650</v>
      </c>
      <c r="B1692" s="2" t="str">
        <f>IFERROR(__xludf.DUMMYFUNCTION("GOOGLETRANSLATE(A1692, ""yo"", ""en"")"),"The EFCC accused Agunloye of carrying out the Mambilla utility project for Sunrise Power on the 22nd day of May 2003 without being hired by the president and without being in the financial system.")</f>
        <v>The EFCC accused Agunloye of carrying out the Mambilla utility project for Sunrise Power on the 22nd day of May 2003 without being hired by the president and without being in the financial system.</v>
      </c>
    </row>
    <row r="1693" ht="15.75" customHeight="1">
      <c r="A1693" s="2" t="s">
        <v>1651</v>
      </c>
      <c r="B1693" s="2" t="str">
        <f>IFERROR(__xludf.DUMMYFUNCTION("GOOGLETRANSLATE(A1693, ""yo"", ""en"")"),"The agency also said that the former minister received N5.212m from Sunrise Power &amp; Company Limited (SPTCL) and from Mr. Leno Adesanya through Mr. Jide Abiodun Sotinrin.")</f>
        <v>The agency also said that the former minister received N5.212m from Sunrise Power &amp; Company Limited (SPTCL) and from Mr. Leno Adesanya through Mr. Jide Abiodun Sotinrin.</v>
      </c>
    </row>
    <row r="1694" ht="15.75" customHeight="1">
      <c r="A1694" s="2" t="s">
        <v>1652</v>
      </c>
      <c r="B1694" s="2" t="str">
        <f>IFERROR(__xludf.DUMMYFUNCTION("GOOGLETRANSLATE(A1694, ""yo"", ""en"")"),"However, the former minister has said that he is not guilty of all the charges against him.")</f>
        <v>However, the former minister has said that he is not guilty of all the charges against him.</v>
      </c>
    </row>
    <row r="1695" ht="15.75" customHeight="1">
      <c r="A1695" s="2" t="s">
        <v>1653</v>
      </c>
      <c r="B1695" s="2" t="str">
        <f>IFERROR(__xludf.DUMMYFUNCTION("GOOGLETRANSLATE(A1695, ""yo"", ""en"")"),"But Mr. Babangida who is a witness told the court that 'Oloye Obasanjo who chaired the executive committee meeting on the twenty first day of May 2003 wrote a letter to the Nigerian attorney general on the twenty seventh day of November 2023 saying that h"&amp;"e did not sign any project for the Sunrise Power company.")</f>
        <v>But Mr. Babangida who is a witness told the court that 'Oloye Obasanjo who chaired the executive committee meeting on the twenty first day of May 2003 wrote a letter to the Nigerian attorney general on the twenty seventh day of November 2023 saying that he did not sign any project for the Sunrise Power company.</v>
      </c>
    </row>
    <row r="1696" ht="15.75" customHeight="1">
      <c r="A1696" s="2" t="s">
        <v>1654</v>
      </c>
      <c r="B1696" s="2" t="str">
        <f>IFERROR(__xludf.DUMMYFUNCTION("GOOGLETRANSLATE(A1696, ""yo"", ""en"")"),"It was Obasanjo who told the minister that he did not raise the matter during the executive committee meeting and the executive committee told the minister that he did not stand on the job.'' on the twenty-second day of June 2003.")</f>
        <v>It was Obasanjo who told the minister that he did not raise the matter during the executive committee meeting and the executive committee told the minister that he did not stand on the job.'' on the twenty-second day of June 2003.</v>
      </c>
    </row>
    <row r="1697" ht="15.75" customHeight="1">
      <c r="A1697" s="2" t="s">
        <v>1655</v>
      </c>
      <c r="B1697" s="2" t="str">
        <f>IFERROR(__xludf.DUMMYFUNCTION("GOOGLETRANSLATE(A1697, ""yo"", ""en"")"),"He also said that Obasanjo also said that the letter was not signed by the executive committee.")</f>
        <v>He also said that Obasanjo also said that the letter was not signed by the executive committee.</v>
      </c>
    </row>
    <row r="1698" ht="15.75" customHeight="1">
      <c r="A1698" s="2" t="s">
        <v>1656</v>
      </c>
      <c r="B1698" s="2" t="str">
        <f>IFERROR(__xludf.DUMMYFUNCTION("GOOGLETRANSLATE(A1698, ""yo"", ""en"")"),"The witness also told the court that even though the federal government asked various companies to write to the government that they can project the Mambilla utility company, Agunloye transferred the project to Sunrise Power company within one day.")</f>
        <v>The witness also told the court that even though the federal government asked various companies to write to the government that they can project the Mambilla utility company, Agunloye transferred the project to Sunrise Power company within one day.</v>
      </c>
    </row>
    <row r="1699" ht="15.75" customHeight="1">
      <c r="A1699" s="2" t="s">
        <v>1657</v>
      </c>
      <c r="B1699" s="2" t="str">
        <f>IFERROR(__xludf.DUMMYFUNCTION("GOOGLETRANSLATE(A1699, ""yo"", ""en"")"),"""What the federal government told the minister is that it did not send enough investors to run the Mambilla mining company.")</f>
        <v>"What the federal government told the minister is that it did not send enough investors to run the Mambilla mining company.</v>
      </c>
    </row>
    <row r="1700" ht="15.75" customHeight="1">
      <c r="A1700" s="2" t="s">
        <v>1658</v>
      </c>
      <c r="B1700" s="2" t="str">
        <f>IFERROR(__xludf.DUMMYFUNCTION("GOOGLETRANSLATE(A1700, ""yo"", ""en"")"),"However, on the twenty-second day of June 2003, the second day of the executive committee meeting, the minister transferred the project to Sunrise Power,'' Babangida said.")</f>
        <v>However, on the twenty-second day of June 2003, the second day of the executive committee meeting, the minister transferred the project to Sunrise Power,'' Babangida said.</v>
      </c>
    </row>
    <row r="1701" ht="15.75" customHeight="1">
      <c r="A1701" s="2" t="s">
        <v>1659</v>
      </c>
      <c r="B1701" s="2" t="str">
        <f>IFERROR(__xludf.DUMMYFUNCTION("GOOGLETRANSLATE(A1701, ""yo"", ""en"")"),"Babangida also told the court that the EFCC investigation revealed that Sunrise Power company paid some money to Agunloye.")</f>
        <v>Babangida also told the court that the EFCC investigation revealed that Sunrise Power company paid some money to Agunloye.</v>
      </c>
    </row>
    <row r="1702" ht="15.75" customHeight="1">
      <c r="A1702" s="2" t="s">
        <v>1660</v>
      </c>
      <c r="B1702" s="2" t="str">
        <f>IFERROR(__xludf.DUMMYFUNCTION("GOOGLETRANSLATE(A1702, ""yo"", ""en"")"),"Babangida said that investigation revealed that the defendant received N3.6m on the 10th of August 2019.")</f>
        <v>Babangida said that investigation revealed that the defendant received N3.6m on the 10th of August 2019.</v>
      </c>
    </row>
    <row r="1703" ht="15.75" customHeight="1">
      <c r="A1703" s="2" t="s">
        <v>1661</v>
      </c>
      <c r="B1703" s="2" t="str">
        <f>IFERROR(__xludf.DUMMYFUNCTION("GOOGLETRANSLATE(A1703, ""yo"", ""en"")"),"He also received N500,000 on the twenty-second day of October 2019, and he also received N1.1m on the thirteenth day of November 2019.")</f>
        <v>He also received N500,000 on the twenty-second day of October 2019, and he also received N1.1m on the thirteenth day of November 2019.</v>
      </c>
    </row>
    <row r="1704" ht="15.75" customHeight="1">
      <c r="A1704" s="2" t="s">
        <v>1662</v>
      </c>
      <c r="B1704" s="2" t="str">
        <f>IFERROR(__xludf.DUMMYFUNCTION("GOOGLETRANSLATE(A1504, ""yo"", ""en"")"),"Now, President Oyekunle will replace the late President Musiliu Olaide Akinremi (Jagaban) who died in 2024, which will cause a re-election.")</f>
        <v>Now, President Oyekunle will replace the late President Musiliu Olaide Akinremi (Jagaban) who died in 2024, which will cause a re-election.</v>
      </c>
    </row>
    <row r="1705" ht="15.75" customHeight="1">
      <c r="A1705" s="2" t="s">
        <v>1663</v>
      </c>
      <c r="B1705" s="2" t="str">
        <f>IFERROR(__xludf.DUMMYFUNCTION("GOOGLETRANSLATE(A1705, ""yo"", ""en"")"),"President Bola Tinubu has banned the importation of goods from abroad into Nigeria, including most things that Nigeria can produce.")</f>
        <v>President Bola Tinubu has banned the importation of goods from abroad into Nigeria, including most things that Nigeria can produce.</v>
      </c>
    </row>
    <row r="1706" ht="15.75" customHeight="1">
      <c r="A1706" s="2" t="s">
        <v>1664</v>
      </c>
      <c r="B1706" s="2" t="str">
        <f>IFERROR(__xludf.DUMMYFUNCTION("GOOGLETRANSLATE(A1706, ""yo"", ""en"")"),"President Tinubu also said that the number of foreign professionals who can come to Nigeria to work, Nigerians can do it themselves.")</f>
        <v>President Tinubu also said that the number of foreign professionals who can come to Nigeria to work, Nigerians can do it themselves.</v>
      </c>
    </row>
    <row r="1707" ht="15.75" customHeight="1">
      <c r="A1707" s="2" t="s">
        <v>1665</v>
      </c>
      <c r="B1707" s="2" t="str">
        <f>IFERROR(__xludf.DUMMYFUNCTION("GOOGLETRANSLATE(A1707, ""yo"", ""en"")"),"The Minister of Information and Broadcasting, Mohammed Idris, confirmed this after the executive committee meeting held at the government office in Abuja on Business Day which was chaired by President Tinubu.")</f>
        <v>The Minister of Information and Broadcasting, Mohammed Idris, confirmed this after the executive committee meeting held at the government office in Abuja on Business Day which was chaired by President Tinubu.</v>
      </c>
    </row>
    <row r="1708" ht="15.75" customHeight="1">
      <c r="A1708" s="2" t="s">
        <v>1666</v>
      </c>
      <c r="B1708" s="2" t="str">
        <f>IFERROR(__xludf.DUMMYFUNCTION("GOOGLETRANSLATE(A1708, ""yo"", ""en"")"),"Minister is a big step that will bring development to the Nigerian economy in this step taken by the president, and it will also bring promotion to the things that the country of Nigeria provides.")</f>
        <v>Minister is a big step that will bring development to the Nigerian economy in this step taken by the president, and it will also bring promotion to the things that the country of Nigeria provides.</v>
      </c>
    </row>
    <row r="1709" ht="15.75" customHeight="1">
      <c r="A1709" s="2" t="s">
        <v>1667</v>
      </c>
      <c r="B1709" s="2" t="str">
        <f>IFERROR(__xludf.DUMMYFUNCTION("GOOGLETRANSLATE(A1709, ""yo"", ""en"")"),"Mr. Idris said that this step is part of the Tinubu administration's efforts to restore the economy of Nigeria.")</f>
        <v>Mr. Idris said that this step is part of the Tinubu administration's efforts to restore the economy of Nigeria.</v>
      </c>
    </row>
    <row r="1710" ht="15.75" customHeight="1">
      <c r="A1710" s="2" t="s">
        <v>1668</v>
      </c>
      <c r="B1710" s="2" t="str">
        <f>IFERROR(__xludf.DUMMYFUNCTION("GOOGLETRANSLATE(A1710, ""yo"", ""en"")"),"The Minister of Information said that this step will not make Nigeria rely only on foreign markets.")</f>
        <v>The Minister of Information said that this step will not make Nigeria rely only on foreign markets.</v>
      </c>
    </row>
    <row r="1711" ht="15.75" customHeight="1">
      <c r="A1711" s="2" t="s">
        <v>1669</v>
      </c>
      <c r="B1711" s="2" t="str">
        <f>IFERROR(__xludf.DUMMYFUNCTION("GOOGLETRANSLATE(A1711, ""yo"", ""en"")"),"BBC News Yoruba news on your WhatsApp Join us at End of podcast promotion ''This program will make this new business culture that only has to do with Nigeria flourish well.")</f>
        <v>BBC News Yoruba news on your WhatsApp Join us at End of podcast promotion ''This program will make this new business culture that only has to do with Nigeria flourish well.</v>
      </c>
    </row>
    <row r="1712" ht="15.75" customHeight="1">
      <c r="A1712" s="2" t="s">
        <v>1670</v>
      </c>
      <c r="B1712" s="2" t="str">
        <f>IFERROR(__xludf.DUMMYFUNCTION("GOOGLETRANSLATE(A1712, ""yo"", ""en"")"),"This step will also benefit Nigerians from the government's investment with how the government invests, buys products and how they expand the economy,'' the Minister said.")</f>
        <v>This step will also benefit Nigerians from the government's investment with how the government invests, buys products and how they expand the economy,'' the Minister said.</v>
      </c>
    </row>
    <row r="1713" ht="15.75" customHeight="1">
      <c r="A1713" s="2" t="s">
        <v>1671</v>
      </c>
      <c r="B1713" s="2" t="str">
        <f>IFERROR(__xludf.DUMMYFUNCTION("GOOGLETRANSLATE(A1713, ""yo"", ""en"")"),"The minister of information and communication said that the president has told the attorney general of Nigeria to make the move a law.")</f>
        <v>The minister of information and communication said that the president has told the attorney general of Nigeria to make the move a law.</v>
      </c>
    </row>
    <row r="1714" ht="15.75" customHeight="1">
      <c r="A1714" s="2" t="s">
        <v>1672</v>
      </c>
      <c r="B1714" s="2" t="str">
        <f>IFERROR(__xludf.DUMMYFUNCTION("GOOGLETRANSLATE(A1714, ""yo"", ""en"")"),"He said that this step that will promote the things that Nigeria provides is one of the most important in the economic expansion program of President Tinubu's government.")</f>
        <v>He said that this step that will promote the things that Nigeria provides is one of the most important in the economic expansion program of President Tinubu's government.</v>
      </c>
    </row>
    <row r="1715" ht="15.75" customHeight="1">
      <c r="A1715" s="2" t="s">
        <v>1673</v>
      </c>
      <c r="B1715" s="2" t="str">
        <f>IFERROR(__xludf.DUMMYFUNCTION("GOOGLETRANSLATE(A1715, ""yo"", ""en"")"),"Mr. Idris said that the Bureau of Public Procurement (BPP) must see that all government departments are using what they do in Nigeria now.")</f>
        <v>Mr. Idris said that the Bureau of Public Procurement (BPP) must see that all government departments are using what they do in Nigeria now.</v>
      </c>
    </row>
    <row r="1716" ht="15.75" customHeight="1">
      <c r="A1716" s="2" t="s">
        <v>1674</v>
      </c>
      <c r="B1716" s="2" t="str">
        <f>IFERROR(__xludf.DUMMYFUNCTION("GOOGLETRANSLATE(A1716, ""yo"", ""en"")"),"The minister in the BPP organization will form a group of Nigerian investors who will sell their products to all government agencies.")</f>
        <v>The minister in the BPP organization will form a group of Nigerian investors who will sell their products to all government agencies.</v>
      </c>
    </row>
    <row r="1717" ht="15.75" customHeight="1">
      <c r="A1717" s="2" t="s">
        <v>1675</v>
      </c>
      <c r="B1717" s="2" t="str">
        <f>IFERROR(__xludf.DUMMYFUNCTION("GOOGLETRANSLATE(A1717, ""yo"", ""en"")"),"Mr. Idris added that the BPP organization has assigned its employees to all government agencies to track how they spend the money of their companies and Nigerian investors.")</f>
        <v>Mr. Idris added that the BPP organization has assigned its employees to all government agencies to track how they spend the money of their companies and Nigerian investors.</v>
      </c>
    </row>
    <row r="1718" ht="15.75" customHeight="1">
      <c r="A1718" s="2" t="s">
        <v>1676</v>
      </c>
      <c r="B1718" s="2" t="str">
        <f>IFERROR(__xludf.DUMMYFUNCTION("GOOGLETRANSLATE(A1718, ""yo"", ""en"")"),"He said that from now on, no government agency should buy anything that they are doing in Nigeria abroad.")</f>
        <v>He said that from now on, no government agency should buy anything that they are doing in Nigeria abroad.</v>
      </c>
    </row>
    <row r="1719" ht="15.75" customHeight="1">
      <c r="A1719" s="2" t="s">
        <v>1677</v>
      </c>
      <c r="B1719" s="2" t="str">
        <f>IFERROR(__xludf.DUMMYFUNCTION("GOOGLETRANSLATE(A1719, ""yo"", ""en"")"),"The minister did not confirm that if the government or anyone has to use a contractor from abroad, such a contractor must use technology in Nigeria or not train Nigerians in the technology that he brings to Nigeria.")</f>
        <v>The minister did not confirm that if the government or anyone has to use a contractor from abroad, such a contractor must use technology in Nigeria or not train Nigerians in the technology that he brings to Nigeria.</v>
      </c>
    </row>
    <row r="1720" ht="15.75" customHeight="1">
      <c r="A1720" s="2" t="s">
        <v>1678</v>
      </c>
      <c r="B1720" s="2" t="str">
        <f>IFERROR(__xludf.DUMMYFUNCTION("GOOGLETRANSLATE(A1720, ""yo"", ""en"")"),"Idris said every government agency has to express their intention on something if they want to buy it for the government now.")</f>
        <v>Idris said every government agency has to express their intention on something if they want to buy it for the government now.</v>
      </c>
    </row>
    <row r="1721" ht="15.75" customHeight="1">
      <c r="A1721" s="2" t="s">
        <v>1679</v>
      </c>
      <c r="B1721" s="2" t="str">
        <f>IFERROR(__xludf.DUMMYFUNCTION("GOOGLETRANSLATE(A1721, ""yo"", ""en"")"),"There is punishment for the government agency if they refuse to do so, and the government will cancel the things they want to buy abroad.")</f>
        <v>There is punishment for the government agency if they refuse to do so, and the government will cancel the things they want to buy abroad.</v>
      </c>
    </row>
    <row r="1722" ht="15.75" customHeight="1">
      <c r="A1722" s="2" t="s">
        <v>1680</v>
      </c>
      <c r="B1722" s="2" t="str">
        <f>IFERROR(__xludf.DUMMYFUNCTION("GOOGLETRANSLATE(A1722, ""yo"", ""en"")"),"The minister is the company that they have been making sugar among the companies that need revival in Nigeria.")</f>
        <v>The minister is the company that they have been making sugar among the companies that need revival in Nigeria.</v>
      </c>
    </row>
    <row r="1723" ht="15.75" customHeight="1">
      <c r="A1723" s="2" t="s">
        <v>1681</v>
      </c>
      <c r="B1723" s="2" t="str">
        <f>IFERROR(__xludf.DUMMYFUNCTION("GOOGLETRANSLATE(A1723, ""yo"", ""en"")"),"Idris, something that is not appropriate is how Nigeria is not importing sugar from abroad when the company that makes sugar in Nigeria has gone bankrupt.")</f>
        <v>Idris, something that is not appropriate is how Nigeria is not importing sugar from abroad when the company that makes sugar in Nigeria has gone bankrupt.</v>
      </c>
    </row>
    <row r="1724" ht="15.75" customHeight="1">
      <c r="A1724" s="2" t="s">
        <v>1682</v>
      </c>
      <c r="B1724" s="2" t="str">
        <f>IFERROR(__xludf.DUMMYFUNCTION("GOOGLETRANSLATE(A1724, ""yo"", ""en"")"),"He said entrepreneurs will not be able to import the products they want into Nigeria, when Nigerian companies are dying.")</f>
        <v>He said entrepreneurs will not be able to import the products they want into Nigeria, when Nigerian companies are dying.</v>
      </c>
    </row>
    <row r="1725" ht="15.75" customHeight="1">
      <c r="A1725" s="2" t="s">
        <v>1683</v>
      </c>
      <c r="B1725" s="2" t="str">
        <f>IFERROR(__xludf.DUMMYFUNCTION("GOOGLETRANSLATE(A1725, ""yo"", ""en"")"),"The minister of government must work for Nigerians now.")</f>
        <v>The minister of government must work for Nigerians now.</v>
      </c>
    </row>
    <row r="1726" ht="15.75" customHeight="1">
      <c r="A1726" s="2" t="s">
        <v>1684</v>
      </c>
      <c r="B1726" s="2" t="str">
        <f>IFERROR(__xludf.DUMMYFUNCTION("GOOGLETRANSLATE(A1726, ""yo"", ""en"")"),"The reason is that a corner of the ruling committee of the Labor political party, led by Julius Abure, has announced that he has asked the governor of Abia state, Alex Otti and five others to stay at home for a while.")</f>
        <v>The reason is that a corner of the ruling committee of the Labor political party, led by Julius Abure, has announced that he has asked the governor of Abia state, Alex Otti and five others to stay at home for a while.</v>
      </c>
    </row>
    <row r="1727" ht="15.75" customHeight="1">
      <c r="A1727" s="2" t="s">
        <v>1685</v>
      </c>
      <c r="B1727" s="2" t="str">
        <f>IFERROR(__xludf.DUMMYFUNCTION("GOOGLETRANSLATE(A1727, ""yo"", ""en"")"),"Others who were asked by the Abure corner to stay home for a while are Senator Ireti Kingibe, Darlington Nwokocha, Victor Afam Ogene, Amobi Ogah and Seyi Sowunmi.")</f>
        <v>Others who were asked by the Abure corner to stay home for a while are Senator Ireti Kingibe, Darlington Nwokocha, Victor Afam Ogene, Amobi Ogah and Seyi Sowunmi.</v>
      </c>
    </row>
    <row r="1728" ht="15.75" customHeight="1">
      <c r="A1728" s="2" t="s">
        <v>1686</v>
      </c>
      <c r="B1728" s="2" t="str">
        <f>IFERROR(__xludf.DUMMYFUNCTION("GOOGLETRANSLATE(A1728, ""yo"", ""en"")"),"They said that this action is taking place after the report of the committee of inquiry that the executive committee set up on the second day of the month of May, 2025 to investigate the behavior of the members.")</f>
        <v>They said that this action is taking place after the report of the committee of inquiry that the executive committee set up on the second day of the month of May, 2025 to investigate the behavior of the members.</v>
      </c>
    </row>
    <row r="1729" ht="15.75" customHeight="1">
      <c r="A1729" s="2" t="s">
        <v>1687</v>
      </c>
      <c r="B1729" s="2" t="str">
        <f>IFERROR(__xludf.DUMMYFUNCTION("GOOGLETRANSLATE(A1729, ""yo"", ""en"")"),"They said that what this curfew means is that the people do not have the right to show themselves or do anything in the name of their political party.")</f>
        <v>They said that what this curfew means is that the people do not have the right to show themselves or do anything in the name of their political party.</v>
      </c>
    </row>
    <row r="1730" ht="15.75" customHeight="1">
      <c r="A1730" s="2" t="s">
        <v>1688</v>
      </c>
      <c r="B1730" s="2" t="str">
        <f>IFERROR(__xludf.DUMMYFUNCTION("GOOGLETRANSLATE(A1730, ""yo"", ""en"")"),"The mission led by Abure is a surprise to them that the mission led by Nenadi Usman, is investigating crimes while Usman himself is still being accused of crimes by the anti-corruption agency in Nigeria, EFCC.")</f>
        <v>The mission led by Abure is a surprise to them that the mission led by Nenadi Usman, is investigating crimes while Usman himself is still being accused of crimes by the anti-corruption agency in Nigeria, EFCC.</v>
      </c>
    </row>
    <row r="1731" ht="15.75" customHeight="1">
      <c r="A1731" s="2" t="s">
        <v>1689</v>
      </c>
      <c r="B1731" s="2" t="str">
        <f>IFERROR(__xludf.DUMMYFUNCTION("GOOGLETRANSLATE(A1731, ""yo"", ""en"")"),"The publisher does not know Nenadi Usman, who was once the minister of finance of Nigeria, born as a member of the Labor Party.")</f>
        <v>The publisher does not know Nenadi Usman, who was once the minister of finance of Nigeria, born as a member of the Labor Party.</v>
      </c>
    </row>
    <row r="1732" ht="15.75" customHeight="1">
      <c r="A1732" s="2" t="s">
        <v>1690</v>
      </c>
      <c r="B1732" s="2" t="str">
        <f>IFERROR(__xludf.DUMMYFUNCTION("GOOGLETRANSLATE(A1732, ""yo"", ""en"")"),"He said, ""It will be a surprise to Nigerians and the sincere members that Nenadi Usman's name is not included in the name that the party asked them to go and hang at home.")</f>
        <v>He said, "It will be a surprise to Nigerians and the sincere members that Nenadi Usman's name is not included in the name that the party asked them to go and hang at home.</v>
      </c>
    </row>
    <row r="1733" ht="15.75" customHeight="1">
      <c r="A1733" s="2" t="s">
        <v>1691</v>
      </c>
      <c r="B1733" s="2" t="str">
        <f>IFERROR(__xludf.DUMMYFUNCTION("GOOGLETRANSLATE(A1733, ""yo"", ""en"")"),"First, we have said many times that Nenadi Usman is not a member of the Labor Party because he does not have a party card.")</f>
        <v>First, we have said many times that Nenadi Usman is not a member of the Labor Party because he does not have a party card.</v>
      </c>
    </row>
    <row r="1734" ht="15.75" customHeight="1">
      <c r="A1734" s="2" t="s">
        <v>1692</v>
      </c>
      <c r="B1734" s="2" t="str">
        <f>IFERROR(__xludf.DUMMYFUNCTION("GOOGLETRANSLATE(A1734, ""yo"", ""en"")"),"""We know that the member of Obident Support Group, who worked, will still work for our presidential candidate during the 2023 election.")</f>
        <v>"We know that the member of Obident Support Group, who worked, will still work for our presidential candidate during the 2023 election.</v>
      </c>
    </row>
    <row r="1735" ht="15.75" customHeight="1">
      <c r="A1735" s="2" t="s">
        <v>1693</v>
      </c>
      <c r="B1735" s="2" t="str">
        <f>IFERROR(__xludf.DUMMYFUNCTION("GOOGLETRANSLATE(A1735, ""yo"", ""en"")"),"We will not be banned because we are not members.")</f>
        <v>We will not be banned because we are not members.</v>
      </c>
    </row>
    <row r="1736" ht="15.75" customHeight="1">
      <c r="A1736" s="2" t="s">
        <v>1694</v>
      </c>
      <c r="B1736" s="2" t="str">
        <f>IFERROR(__xludf.DUMMYFUNCTION("GOOGLETRANSLATE(A1736, ""yo"", ""en"")"),"""Nenadi Usman had no role to initiate an investigation or speak out against the crime."" Abure appointed a committee of inquiry to investigate the actions of the governor Alex Otti and the candidate for the presidency of the Labor Party in the 2023 elect"&amp;"ion.")</f>
        <v>"Nenadi Usman had no role to initiate an investigation or speak out against the crime." Abure appointed a committee of inquiry to investigate the actions of the governor Alex Otti and the candidate for the presidency of the Labor Party in the 2023 election.</v>
      </c>
    </row>
    <row r="1737" ht="15.75" customHeight="1">
      <c r="A1737" s="2" t="s">
        <v>1695</v>
      </c>
      <c r="B1737" s="2" t="str">
        <f>IFERROR(__xludf.DUMMYFUNCTION("GOOGLETRANSLATE(A1737, ""yo"", ""en"")"),"BBC News Yoruba news on your WhatsApp Join us at the End of podcast promotion Also, the embassy led by Nenadi Usman has raised a mission to investigate the time spent by Julius Abure as the chairman of the political party.")</f>
        <v>BBC News Yoruba news on your WhatsApp Join us at the End of podcast promotion Also, the embassy led by Nenadi Usman has raised a mission to investigate the time spent by Julius Abure as the chairman of the political party.</v>
      </c>
    </row>
    <row r="1738" ht="15.75" customHeight="1">
      <c r="A1738" s="2" t="s">
        <v>1696</v>
      </c>
      <c r="B1738" s="2" t="str">
        <f>IFERROR(__xludf.DUMMYFUNCTION("GOOGLETRANSLATE(A1738, ""yo"", ""en"")"),"Usman's speech, which Alex Otti and Peter Obi are familiar with, has given Abure two days to make it clear that he is the chairman of the Labor Party because his term is over.")</f>
        <v>Usman's speech, which Alex Otti and Peter Obi are familiar with, has given Abure two days to make it clear that he is the chairman of the Labor Party because his term is over.</v>
      </c>
    </row>
    <row r="1739" ht="15.75" customHeight="1">
      <c r="A1739" s="2" t="s">
        <v>1697</v>
      </c>
      <c r="B1739" s="2" t="str">
        <f>IFERROR(__xludf.DUMMYFUNCTION("GOOGLETRANSLATE(A1739, ""yo"", ""en"")"),"Speaking to newsmen yesterday in Abuja, Usman vowed to stop Abure's actions to create trouble in the political party ahead of the 2027 election.")</f>
        <v>Speaking to newsmen yesterday in Abuja, Usman vowed to stop Abure's actions to create trouble in the political party ahead of the 2027 election.</v>
      </c>
    </row>
    <row r="1740" ht="15.75" customHeight="1">
      <c r="A1740" s="2" t="s">
        <v>1698</v>
      </c>
      <c r="B1740" s="2" t="str">
        <f>IFERROR(__xludf.DUMMYFUNCTION("GOOGLETRANSLATE(A1740, ""yo"", ""en"")"),"He said that he thought that with the judgment of the highest court in Nigeria on April, the month of April, which has ended Abure's tenure, it will enable Abure to work with the new executive committee of the party on the way and bring about reorganizati"&amp;"on and progress to their party.")</f>
        <v>He said that he thought that with the judgment of the highest court in Nigeria on April, the month of April, which has ended Abure's tenure, it will enable Abure to work with the new executive committee of the party on the way and bring about reorganization and progress to their party.</v>
      </c>
    </row>
    <row r="1741" ht="15.75" customHeight="1">
      <c r="A1741" s="2" t="s">
        <v>1699</v>
      </c>
      <c r="B1741" s="2" t="str">
        <f>IFERROR(__xludf.DUMMYFUNCTION("GOOGLETRANSLATE(A1741, ""yo"", ""en"")"),"He added that it is surprising that instead of cooperating with the group, Abure is still calling himself the chairman and is defaming the elders of the group like Otti and Obi.")</f>
        <v>He added that it is surprising that instead of cooperating with the group, Abure is still calling himself the chairman and is defaming the elders of the group like Otti and Obi.</v>
      </c>
    </row>
    <row r="1742" ht="15.75" customHeight="1">
      <c r="A1742" s="2" t="s">
        <v>1700</v>
      </c>
      <c r="B1742" s="2" t="str">
        <f>IFERROR(__xludf.DUMMYFUNCTION("GOOGLETRANSLATE(A1742, ""yo"", ""en"")"),"He believes that Abure's actions are not just to ignore the court's judgment, he said it is smearing their political party.")</f>
        <v>He believes that Abure's actions are not just to ignore the court's judgment, he said it is smearing their political party.</v>
      </c>
    </row>
    <row r="1743" ht="15.75" customHeight="1">
      <c r="A1743" s="2" t="s">
        <v>1701</v>
      </c>
      <c r="B1743" s="2" t="str">
        <f>IFERROR(__xludf.DUMMYFUNCTION("GOOGLETRANSLATE(A1743, ""yo"", ""en"")"),"Similarly, Ambassador Usman said they have courage in governor Alex Otti and Peter Obi against what Abure is saying about them.")</f>
        <v>Similarly, Ambassador Usman said they have courage in governor Alex Otti and Peter Obi against what Abure is saying about them.</v>
      </c>
    </row>
    <row r="1744" ht="15.75" customHeight="1">
      <c r="A1744" s="2" t="s">
        <v>1702</v>
      </c>
      <c r="B1744" s="2" t="str">
        <f>IFERROR(__xludf.DUMMYFUNCTION("GOOGLETRANSLATE(A1744, ""yo"", ""en"")"),"Pat Utomi said that they launched the opposition government which he called the ""Big Tent Coalition Shadow Government"" on the Internet.")</f>
        <v>Pat Utomi said that they launched the opposition government which he called the "Big Tent Coalition Shadow Government" on the Internet.</v>
      </c>
    </row>
    <row r="1745" ht="15.75" customHeight="1">
      <c r="A1745" s="2" t="s">
        <v>1703</v>
      </c>
      <c r="B1745" s="2" t="str">
        <f>IFERROR(__xludf.DUMMYFUNCTION("GOOGLETRANSLATE(A1745, ""yo"", ""en"")"),"He said that the government was established to work as an opposition group that is committed to exposing the failures of the government system under the leadership of President Bol Ahmed Tinubu and to provide appropriate advice to the government on their "&amp;"actions.")</f>
        <v>He said that the government was established to work as an opposition group that is committed to exposing the failures of the government system under the leadership of President Bol Ahmed Tinubu and to provide appropriate advice to the government on their actions.</v>
      </c>
    </row>
    <row r="1746" ht="15.75" customHeight="1">
      <c r="A1746" s="2" t="s">
        <v>1704</v>
      </c>
      <c r="B1746" s="2" t="str">
        <f>IFERROR(__xludf.DUMMYFUNCTION("GOOGLETRANSLATE(A1746, ""yo"", ""en"")"),"He said that many actions and programs of the government are causing problems and hunger for Nigerians, which is causing many companies to close down, and which is also causing violence in Benue and Plateau states.")</f>
        <v>He said that many actions and programs of the government are causing problems and hunger for Nigerians, which is causing many companies to close down, and which is also causing violence in Benue and Plateau states.</v>
      </c>
    </row>
    <row r="1747" ht="15.75" customHeight="1">
      <c r="A1747" s="2" t="s">
        <v>1705</v>
      </c>
      <c r="B1747" s="2" t="str">
        <f>IFERROR(__xludf.DUMMYFUNCTION("GOOGLETRANSLATE(A1747, ""yo"", ""en"")"),"He added that the lack of security and the crime is increasing every day in this country.")</f>
        <v>He added that the lack of security and the crime is increasing every day in this country.</v>
      </c>
    </row>
    <row r="1748" ht="15.75" customHeight="1">
      <c r="A1748" s="2" t="s">
        <v>1706</v>
      </c>
      <c r="B1748" s="2" t="str">
        <f>IFERROR(__xludf.DUMMYFUNCTION("GOOGLETRANSLATE(A1748, ""yo"", ""en"")"),"The minister of information and communication, Mohammed Idris in his response said that the establishment of a second government at a time when Nigeria is preparing to celebrate the twenty-sixth year that we have been with the system of governance, is som"&amp;"ething that is not right at all.")</f>
        <v>The minister of information and communication, Mohammed Idris in his response said that the establishment of a second government at a time when Nigeria is preparing to celebrate the twenty-sixth year that we have been with the system of governance, is something that is not right at all.</v>
      </c>
    </row>
    <row r="1749" ht="15.75" customHeight="1">
      <c r="A1749" s="2" t="s">
        <v>1707</v>
      </c>
      <c r="B1749" s="2" t="str">
        <f>IFERROR(__xludf.DUMMYFUNCTION("GOOGLETRANSLATE(A1749, ""yo"", ""en"")"),"Idris in Nigeria does not use the British-style government system that allows ""shadow government"" and the Nigerian law does not allow it.")</f>
        <v>Idris in Nigeria does not use the British-style government system that allows "shadow government" and the Nigerian law does not allow it.</v>
      </c>
    </row>
    <row r="1750" ht="15.75" customHeight="1">
      <c r="A1750" s="2" t="s">
        <v>1708</v>
      </c>
      <c r="B1750" s="2" t="str">
        <f>IFERROR(__xludf.DUMMYFUNCTION("GOOGLETRANSLATE(A1750, ""yo"", ""en"")"),"He said that even though the system of government allows opposition, it must be done in a way that is in line with the law.")</f>
        <v>He said that even though the system of government allows opposition, it must be done in a way that is in line with the law.</v>
      </c>
    </row>
    <row r="1751" ht="15.75" customHeight="1">
      <c r="A1751" s="2" t="s">
        <v>1709</v>
      </c>
      <c r="B1751" s="2" t="str">
        <f>IFERROR(__xludf.DUMMYFUNCTION("GOOGLETRANSLATE(A1751, ""yo"", ""en"")"),"The Attorney General of Nigeria, Ahmed Raji explained to BBC News Yoruba that: ""Shadow Government"" is like the opposite government that happens when a country uses a system of government led by the parliament, which is called ""parliamentary system of g"&amp;"overnment"".")</f>
        <v>The Attorney General of Nigeria, Ahmed Raji explained to BBC News Yoruba that: "Shadow Government" is like the opposite government that happens when a country uses a system of government led by the parliament, which is called "parliamentary system of government".</v>
      </c>
    </row>
    <row r="1752" ht="15.75" customHeight="1">
      <c r="A1752" s="2" t="s">
        <v>1710</v>
      </c>
      <c r="B1752" s="2" t="str">
        <f>IFERROR(__xludf.DUMMYFUNCTION("GOOGLETRANSLATE(A1752, ""yo"", ""en"")"),"Lawyer Raji has the system of government that we are using in Nigeria, where we have two parliaments.")</f>
        <v>Lawyer Raji has the system of government that we are using in Nigeria, where we have two parliaments.</v>
      </c>
    </row>
    <row r="1753" ht="15.75" customHeight="1">
      <c r="A1753" s="2" t="s">
        <v>1711</v>
      </c>
      <c r="B1753" s="2" t="str">
        <f>IFERROR(__xludf.DUMMYFUNCTION("GOOGLETRANSLATE(A1753, ""yo"", ""en"")"),"that is, the House of Representatives and the House of Representatives, does not leave room for ""shadow government"" at all.")</f>
        <v>that is, the House of Representatives and the House of Representatives, does not leave room for "shadow government" at all.</v>
      </c>
    </row>
    <row r="1754" ht="15.75" customHeight="1">
      <c r="A1754" s="2" t="s">
        <v>1712</v>
      </c>
      <c r="B1754" s="2" t="str">
        <f>IFERROR(__xludf.DUMMYFUNCTION("GOOGLETRANSLATE(A1754, ""yo"", ""en"")"),"""What is called ""shadow government"" is that we will have a political party that makes the government and an opposition party.")</f>
        <v>"What is called "shadow government" is that we will have a political party that makes the government and an opposition party.</v>
      </c>
    </row>
    <row r="1755" ht="15.75" customHeight="1">
      <c r="A1755" s="2" t="s">
        <v>1713</v>
      </c>
      <c r="B1755" s="2" t="str">
        <f>IFERROR(__xludf.DUMMYFUNCTION("GOOGLETRANSLATE(A1755, ""yo"", ""en"")"),"That opposition group also came up with a plan as if they could come to the government anytime.")</f>
        <v>That opposition group also came up with a plan as if they could come to the government anytime.</v>
      </c>
    </row>
    <row r="1756" ht="15.75" customHeight="1">
      <c r="A1756" s="2" t="s">
        <v>1714</v>
      </c>
      <c r="B1756" s="2" t="str">
        <f>IFERROR(__xludf.DUMMYFUNCTION("GOOGLETRANSLATE(A1756, ""yo"", ""en"")"),"He said that every leader that the foreign government appoints will be the other government's such as the minister of justice, planning, agriculture, education and so on.")</f>
        <v>He said that every leader that the foreign government appoints will be the other government's such as the minister of justice, planning, agriculture, education and so on.</v>
      </c>
    </row>
    <row r="1757" ht="15.75" customHeight="1">
      <c r="A1757" s="2" t="s">
        <v>1715</v>
      </c>
      <c r="B1757" s="2" t="str">
        <f>IFERROR(__xludf.DUMMYFUNCTION("GOOGLETRANSLATE(A1757, ""yo"", ""en"")"),"He considered that the system of government that Nigeria is currently using which is the ""Presidential system of government"" has no plan for such a system under this law.")</f>
        <v>He considered that the system of government that Nigeria is currently using which is the "Presidential system of government" has no plan for such a system under this law.</v>
      </c>
    </row>
    <row r="1758" ht="15.75" customHeight="1">
      <c r="A1758" s="2" t="s">
        <v>1716</v>
      </c>
      <c r="B1758" s="2" t="str">
        <f>IFERROR(__xludf.DUMMYFUNCTION("GOOGLETRANSLATE(A1758, ""yo"", ""en"")"),"BBC News Yoruba news on your WhatsApp Join us at End of podcast promotion Attorney Raji explains that there is no law that establishes punishment for the person who takes this kind of action.")</f>
        <v>BBC News Yoruba news on your WhatsApp Join us at End of podcast promotion Attorney Raji explains that there is no law that establishes punishment for the person who takes this kind of action.</v>
      </c>
    </row>
    <row r="1759" ht="15.75" customHeight="1">
      <c r="A1759" s="2" t="s">
        <v>1717</v>
      </c>
      <c r="B1759" s="2" t="str">
        <f>IFERROR(__xludf.DUMMYFUNCTION("GOOGLETRANSLATE(A1759, ""yo"", ""en"")"),"""I don't think that any punishment should arise here, what people should know is that what Pat Utomi has done is like those who can be described as those who are betraying the government from its responsibilities.")</f>
        <v>"I don't think that any punishment should arise here, what people should know is that what Pat Utomi has done is like those who can be described as those who are betraying the government from its responsibilities.</v>
      </c>
    </row>
    <row r="1760" ht="15.75" customHeight="1">
      <c r="A1760" s="2" t="s">
        <v>1718</v>
      </c>
      <c r="B1760" s="2" t="str">
        <f>IFERROR(__xludf.DUMMYFUNCTION("GOOGLETRANSLATE(A1760, ""yo"", ""en"")"),"""Because everything they say cannot be confirmed, they can call the government's attention to people.")</f>
        <v>"Because everything they say cannot be confirmed, they can call the government's attention to people.</v>
      </c>
    </row>
    <row r="1761" ht="15.75" customHeight="1">
      <c r="A1761" s="2" t="s">
        <v>1719</v>
      </c>
      <c r="B1761" s="2" t="str">
        <f>IFERROR(__xludf.DUMMYFUNCTION("GOOGLETRANSLATE(A1761, ""yo"", ""en"")"),"The person who likes what they are saying will listen to them, the person who doesn't like them, we will go."" ""I don't think that the government should punish them for something, if the government does that, they want to talk about what they are doing.")</f>
        <v>The person who likes what they are saying will listen to them, the person who doesn't like them, we will go." "I don't think that the government should punish them for something, if the government does that, they want to talk about what they are doing.</v>
      </c>
    </row>
    <row r="1762" ht="15.75" customHeight="1">
      <c r="A1762" s="2" t="s">
        <v>1720</v>
      </c>
      <c r="B1762" s="2" t="str">
        <f>IFERROR(__xludf.DUMMYFUNCTION("GOOGLETRANSLATE(A1762, ""yo"", ""en"")"),"Let the government continue with its work, let them put aside their issues."" Among the things that Pat Utomi in his government committee will do is to evaluate the programs that will increase the economic system of Nigeria, how the security system will b"&amp;"e strengthened and the reformation of the constitution of Nigeria.")</f>
        <v>Let the government continue with its work, let them put aside their issues." Among the things that Pat Utomi in his government committee will do is to evaluate the programs that will increase the economic system of Nigeria, how the security system will be strengthened and the reformation of the constitution of Nigeria.</v>
      </c>
    </row>
    <row r="1763" ht="15.75" customHeight="1">
      <c r="A1763" s="2" t="s">
        <v>1721</v>
      </c>
      <c r="B1763" s="2" t="str">
        <f>IFERROR(__xludf.DUMMYFUNCTION("GOOGLETRANSLATE(A1763, ""yo"", ""en"")"),"He also said that they will see to the matter of health, education, law, the development of natural resources and the management of government programs.")</f>
        <v>He also said that they will see to the matter of health, education, law, the development of natural resources and the management of government programs.</v>
      </c>
    </row>
    <row r="1764" ht="15.75" customHeight="1">
      <c r="A1764" s="2" t="s">
        <v>1722</v>
      </c>
      <c r="B1764" s="2" t="str">
        <f>IFERROR(__xludf.DUMMYFUNCTION("GOOGLETRANSLATE (A1764, ""yo"", ""en"")"),"While speaking on the reason why Pat Utomi did they put down the other government, Attorney Raji said that under the system of governance used by Nigeria, there is no one who cannot call the government's attention to the irregularities that occur.")</f>
        <v>While speaking on the reason why Pat Utomi did they put down the other government, Attorney Raji said that under the system of governance used by Nigeria, there is no one who cannot call the government's attention to the irregularities that occur.</v>
      </c>
    </row>
    <row r="1765" ht="15.75" customHeight="1">
      <c r="A1765" s="2" t="s">
        <v>1723</v>
      </c>
      <c r="B1765" s="2" t="str">
        <f>IFERROR(__xludf.DUMMYFUNCTION("GOOGLETRANSLATE(A1765, ""yo"", ""en"")"),"He said there is no need to call it a ""shadow government"" before it can do all the things that Pat Utomi said.")</f>
        <v>He said there is no need to call it a "shadow government" before it can do all the things that Pat Utomi said.</v>
      </c>
    </row>
    <row r="1766" ht="15.75" customHeight="1">
      <c r="A1766" s="2" t="s">
        <v>1724</v>
      </c>
      <c r="B1766" s="2" t="str">
        <f>IFERROR(__xludf.DUMMYFUNCTION("GOOGLETRANSLATE(A1766, ""yo"", ""en"")"),"He considered that many groups in Nigeria are speaking against all actions and programs of the government even in ways that harm the people.")</f>
        <v>He considered that many groups in Nigeria are speaking against all actions and programs of the government even in ways that harm the people.</v>
      </c>
    </row>
    <row r="1767" ht="15.75" customHeight="1">
      <c r="A1767" s="2" t="s">
        <v>1725</v>
      </c>
      <c r="B1767" s="2" t="str">
        <f>IFERROR(__xludf.DUMMYFUNCTION("GOOGLETRANSLATE(A1767, ""yo"", ""en"")"),"""All the factions are talking, the top group is talking, the Afenifere group is talking... everyone is emphasizing it, the one who is not on any side can also speak.")</f>
        <v>"All the factions are talking, the top group is talking, the Afenifere group is talking... everyone is emphasizing it, the one who is not on any side can also speak.</v>
      </c>
    </row>
    <row r="1768" ht="15.75" customHeight="1">
      <c r="A1768" s="2" t="s">
        <v>1726</v>
      </c>
      <c r="B1768" s="2" t="str">
        <f>IFERROR(__xludf.DUMMYFUNCTION("GOOGLETRANSLATE(A1768, ""yo"", ""en"")"),"""One of the things they are saying is that the law we are using is wrong, it can't get us anywhere, all those things are available under the law, some can say that the government is not doing this well, this is what you should do, the opportunity but let"&amp;"'s have an anchor government, there is nothing like you.")</f>
        <v>"One of the things they are saying is that the law we are using is wrong, it can't get us anywhere, all those things are available under the law, some can say that the government is not doing this well, this is what you should do, the opportunity but let's have an anchor government, there is nothing like you.</v>
      </c>
    </row>
    <row r="1769" ht="15.75" customHeight="1">
      <c r="A1769" s="2" t="s">
        <v>1727</v>
      </c>
      <c r="B1769" s="2" t="str">
        <f>IFERROR(__xludf.DUMMYFUNCTION("GOOGLETRANSLATE(A1769, ""yo"", ""en"")"),"Before the restoration of the shadow government system in Nigeria in 1999, the ""shadow government"" used to exist during the military although they were not so established.")</f>
        <v>Before the restoration of the shadow government system in Nigeria in 1999, the "shadow government" used to exist during the military although they were not so established.</v>
      </c>
    </row>
    <row r="1770" ht="15.75" customHeight="1">
      <c r="A1770" s="2" t="s">
        <v>1728</v>
      </c>
      <c r="B1770" s="2" t="str">
        <f>IFERROR(__xludf.DUMMYFUNCTION("GOOGLETRANSLATE(A1770, ""yo"", ""en"")"),"Many of the programs and actions of the military in those who govern under them have a strong impact on the political issue.")</f>
        <v>Many of the programs and actions of the military in those who govern under them have a strong impact on the political issue.</v>
      </c>
    </row>
    <row r="1771" ht="15.75" customHeight="1">
      <c r="A1771" s="2" t="s">
        <v>1729</v>
      </c>
      <c r="B1771" s="2" t="str">
        <f>IFERROR(__xludf.DUMMYFUNCTION("GOOGLETRANSLATE(A1771, ""yo"", ""en"")"),"In these times, some people who have power over the city plan intervene in the city's affairs and their words or actions have a real impact.")</f>
        <v>In these times, some people who have power over the city plan intervene in the city's affairs and their words or actions have a real impact.</v>
      </c>
    </row>
    <row r="1772" ht="15.75" customHeight="1">
      <c r="A1772" s="2" t="s">
        <v>1730</v>
      </c>
      <c r="B1772" s="2" t="str">
        <f>IFERROR(__xludf.DUMMYFUNCTION("GOOGLETRANSLATE(A1772, ""yo"", ""en"")"),"But the shadow government system is not unique to some African countries such as Benin, Ghana, Kenya, Mozambique and Zimbabwe.")</f>
        <v>But the shadow government system is not unique to some African countries such as Benin, Ghana, Kenya, Mozambique and Zimbabwe.</v>
      </c>
    </row>
    <row r="1773" ht="15.75" customHeight="1">
      <c r="A1773" s="2" t="s">
        <v>1731</v>
      </c>
      <c r="B1773" s="2" t="str">
        <f>IFERROR(__xludf.DUMMYFUNCTION("GOOGLETRANSLATE(A1773, ""yo"", ""en"")"),"In the country of Benin, President Patrice Talon was one of the founders of the shadow government before becoming the country's president in 2016.")</f>
        <v>In the country of Benin, President Patrice Talon was one of the founders of the shadow government before becoming the country's president in 2016.</v>
      </c>
    </row>
    <row r="1774" ht="15.75" customHeight="1">
      <c r="A1774" s="2" t="s">
        <v>1732</v>
      </c>
      <c r="B1774" s="2" t="str">
        <f>IFERROR(__xludf.DUMMYFUNCTION("GOOGLETRANSLATE(A1774, ""yo"", ""en"")"),"Every 9th day of the month of May of the year is the celebration of the workers in the world, this is why the Nigerian labor unions join their colleagues to celebrate the celebration.")</f>
        <v>Every 9th day of the month of May of the year is the celebration of the workers in the world, this is why the Nigerian labor unions join their colleagues to celebrate the celebration.</v>
      </c>
    </row>
    <row r="1775" ht="15.75" customHeight="1">
      <c r="A1775" s="2" t="s">
        <v>1733</v>
      </c>
      <c r="B1775" s="2" t="str">
        <f>IFERROR(__xludf.DUMMYFUNCTION("GOOGLETRANSLATE(A1775, ""yo"", ""en"")"),"But happiness is not in the minds of these workers.")</f>
        <v>But happiness is not in the minds of these workers.</v>
      </c>
    </row>
    <row r="1776" ht="15.75" customHeight="1">
      <c r="A1776" s="2" t="s">
        <v>1734</v>
      </c>
      <c r="B1776" s="2" t="str">
        <f>IFERROR(__xludf.DUMMYFUNCTION("GOOGLETRANSLATE(A1776, ""yo"", ""en"")"),"They expressed their grief to the government at Eagle Square, in Abuja, where the ceremony was held.")</f>
        <v>They expressed their grief to the government at Eagle Square, in Abuja, where the ceremony was held.</v>
      </c>
    </row>
    <row r="1777" ht="15.75" customHeight="1">
      <c r="A1777" s="2" t="s">
        <v>1735</v>
      </c>
      <c r="B1777" s="2" t="str">
        <f>IFERROR(__xludf.DUMMYFUNCTION("GOOGLETRANSLATE(A1777, ""yo"", ""en"")"),"The president of the labor union, (NLC) in Nigeria, Joe Ajaero and Festus Osifo (TUC), criticized the Nigerian government, with the statement that workers should not become poor again after the work they are doing.")</f>
        <v>The president of the labor union, (NLC) in Nigeria, Joe Ajaero and Festus Osifo (TUC), criticized the Nigerian government, with the statement that workers should not become poor again after the work they are doing.</v>
      </c>
    </row>
    <row r="1778" ht="15.75" customHeight="1">
      <c r="A1778" s="2" t="s">
        <v>1736</v>
      </c>
      <c r="B1778" s="2" t="str">
        <f>IFERROR(__xludf.DUMMYFUNCTION("GOOGLETRANSLATE(A1778, ""yo"", ""en"")"),"They have but unfortunately that is what Nigerian workers are facing.")</f>
        <v>They have but unfortunately that is what Nigerian workers are facing.</v>
      </c>
    </row>
    <row r="1779" ht="15.75" customHeight="1">
      <c r="A1779" s="2" t="s">
        <v>1737</v>
      </c>
      <c r="B1779" s="2" t="str">
        <f>IFERROR(__xludf.DUMMYFUNCTION("GOOGLETRANSLATE(A1779, ""yo"", ""en"")"),"Ajaero said that they are responsible for the problems and problems Nigerian workers are facing because of it.")</f>
        <v>Ajaero said that they are responsible for the problems and problems Nigerian workers are facing because of it.</v>
      </c>
    </row>
    <row r="1780" ht="15.75" customHeight="1">
      <c r="A1780" s="2" t="s">
        <v>1738</v>
      </c>
      <c r="B1780" s="2" t="str">
        <f>IFERROR(__xludf.DUMMYFUNCTION("GOOGLETRANSLATE(A1780, ""yo"", ""en"")"),"It is because the workers' union fought for the freedom system, yet, the workers are still suffering too much.")</f>
        <v>It is because the workers' union fought for the freedom system, yet, the workers are still suffering too much.</v>
      </c>
    </row>
    <row r="1781" ht="15.75" customHeight="1">
      <c r="A1781" s="2" t="s">
        <v>1739</v>
      </c>
      <c r="B1781" s="2" t="str">
        <f>IFERROR(__xludf.DUMMYFUNCTION("GOOGLETRANSLATE(A1781, ""yo"", ""en"")"),"Comrade Ajaero said that the government's monthly salary, which they will be paying seventy thousand (70,000) is not enough.")</f>
        <v>Comrade Ajaero said that the government's monthly salary, which they will be paying seventy thousand (70,000) is not enough.</v>
      </c>
    </row>
    <row r="1782" ht="15.75" customHeight="1">
      <c r="A1782" s="2" t="s">
        <v>1740</v>
      </c>
      <c r="B1782" s="2" t="str">
        <f>IFERROR(__xludf.DUMMYFUNCTION("GOOGLETRANSLATE(A1782, ""yo"", ""en"")"),"Ajaero explained that the money was not enough to buy a bag of rice.")</f>
        <v>Ajaero explained that the money was not enough to buy a bag of rice.</v>
      </c>
    </row>
    <row r="1783" ht="15.75" customHeight="1">
      <c r="A1783" s="2" t="s">
        <v>1741</v>
      </c>
      <c r="B1783" s="2" t="str">
        <f>IFERROR(__xludf.DUMMYFUNCTION("GOOGLETRANSLATE(A1783, ""yo"", ""en"")"),"As he said, a government that puts itself in the hands of the people will not be like that forever.")</f>
        <v>As he said, a government that puts itself in the hands of the people will not be like that forever.</v>
      </c>
    </row>
    <row r="1784" ht="15.75" customHeight="1">
      <c r="A1784" s="2" t="s">
        <v>1742</v>
      </c>
      <c r="B1784" s="2" t="str">
        <f>IFERROR(__xludf.DUMMYFUNCTION("GOOGLETRANSLATE(A1784, ""yo"", ""en"")"),"Similarly, Ajaero added that the workers who are working for the mother will not keep her quiet.")</f>
        <v>Similarly, Ajaero added that the workers who are working for the mother will not keep her quiet.</v>
      </c>
    </row>
    <row r="1785" ht="15.75" customHeight="1">
      <c r="A1785" s="2" t="s">
        <v>1743</v>
      </c>
      <c r="B1785" s="2" t="str">
        <f>IFERROR(__xludf.DUMMYFUNCTION("GOOGLETRANSLATE(A1785, ""yo"", ""en"")"),"He said they will shout about the hardships the government is bringing to the workers.")</f>
        <v>He said they will shout about the hardships the government is bringing to the workers.</v>
      </c>
    </row>
    <row r="1786" ht="15.75" customHeight="1">
      <c r="A1786" s="2" t="s">
        <v>1744</v>
      </c>
      <c r="B1786" s="2" t="str">
        <f>IFERROR(__xludf.DUMMYFUNCTION("GOOGLETRANSLATE(A1786:A2067, ""yo"", ""en"")"),"Among the rights advocates that the labor union announced that day that they want from the government are: Ajaero continued that this is the time for the labor union to fight for their rights.")</f>
        <v>Among the rights advocates that the labor union announced that day that they want from the government are: Ajaero continued that this is the time for the labor union to fight for their rights.</v>
      </c>
    </row>
    <row r="1787" ht="15.75" customHeight="1">
      <c r="A1787" s="2" t="s">
        <v>1745</v>
      </c>
      <c r="B1787" s="2" t="str">
        <f>IFERROR(__xludf.DUMMYFUNCTION("GOOGLETRANSLATE(A1787, ""yo"", ""en"")"),"He urged them not to lose hope, no matter what.")</f>
        <v>He urged them not to lose hope, no matter what.</v>
      </c>
    </row>
    <row r="1788" ht="15.75" customHeight="1">
      <c r="A1788" s="2" t="s">
        <v>1746</v>
      </c>
      <c r="B1788" s="2" t="str">
        <f>IFERROR(__xludf.DUMMYFUNCTION("GOOGLETRANSLATE(A1788, ""yo"", ""en"")"),"Instead, he asked them to do their best to fight the conqueror.")</f>
        <v>Instead, he asked them to do their best to fight the conqueror.</v>
      </c>
    </row>
    <row r="1789" ht="15.75" customHeight="1">
      <c r="A1789" s="2" t="s">
        <v>1747</v>
      </c>
      <c r="B1789" s="2" t="str">
        <f>IFERROR(__xludf.DUMMYFUNCTION("GOOGLETRANSLATE(A1789, ""yo"", ""en"")"),"The theme of this year's workers' day celebration is called ``employee's success with the city.''")</f>
        <v>The theme of this year's workers' day celebration is called ``employee's success with the city.''</v>
      </c>
    </row>
    <row r="1790" ht="15.75" customHeight="1">
      <c r="A1790" s="2" t="s">
        <v>1748</v>
      </c>
      <c r="B1790" s="2" t="str">
        <f>IFERROR(__xludf.DUMMYFUNCTION("GOOGLETRANSLATE(A1790, ""yo"", ""en"")"),"BBC News Yoruba news on your WhatsApp Join us there End of podcast promotion Ever since President Bola Tinubu removed the oil subsidy from the pillar, it is still difficult for the people to eat and drink.")</f>
        <v>BBC News Yoruba news on your WhatsApp Join us there End of podcast promotion Ever since President Bola Tinubu removed the oil subsidy from the pillar, it is still difficult for the people to eat and drink.</v>
      </c>
    </row>
    <row r="1791" ht="15.75" customHeight="1">
      <c r="A1791" s="2" t="s">
        <v>1749</v>
      </c>
      <c r="B1791" s="2" t="str">
        <f>IFERROR(__xludf.DUMMYFUNCTION("GOOGLETRANSLATE(A1791, ""yo"", ""en"")"),"This is why many workers ask for an increase in monthly salary because the money they are getting is no longer needed.")</f>
        <v>This is why many workers ask for an increase in monthly salary because the money they are getting is no longer needed.</v>
      </c>
    </row>
    <row r="1792" ht="15.75" customHeight="1">
      <c r="A1792" s="2" t="s">
        <v>1750</v>
      </c>
      <c r="B1792" s="2" t="str">
        <f>IFERROR(__xludf.DUMMYFUNCTION("GOOGLETRANSLATE(A1792, ""yo"", ""en"")"),"Although the federal government has signed N70,000 as the minimum wage for workers, a private organization called BudgIT says that only seventeen states have started paying the minimum monthly wage.")</f>
        <v>Although the federal government has signed N70,000 as the minimum wage for workers, a private organization called BudgIT says that only seventeen states have started paying the minimum monthly wage.</v>
      </c>
    </row>
    <row r="1793" ht="15.75" customHeight="1">
      <c r="A1793" s="2" t="s">
        <v>1751</v>
      </c>
      <c r="B1793" s="2" t="str">
        <f>IFERROR(__xludf.DUMMYFUNCTION("GOOGLETRANSLATE(A1793, ""yo"", ""en"")"),"The company said that many private companies have not yet started paying the monthly fee until now.")</f>
        <v>The company said that many private companies have not yet started paying the monthly fee until now.</v>
      </c>
    </row>
    <row r="1794" ht="15.75" customHeight="1">
      <c r="A1794" s="2" t="s">
        <v>1752</v>
      </c>
      <c r="B1794" s="2" t="str">
        <f>IFERROR(__xludf.DUMMYFUNCTION("GOOGLETRANSLATE(A1794, ""yo"", ""en"")"),"Labor union branches in states across Nigeria say that it is not necessary to spend money to increase workers' salaries quickly.")</f>
        <v>Labor union branches in states across Nigeria say that it is not necessary to spend money to increase workers' salaries quickly.</v>
      </c>
    </row>
    <row r="1795" ht="15.75" customHeight="1">
      <c r="A1795" s="2" t="s">
        <v>1753</v>
      </c>
      <c r="B1795" s="2" t="str">
        <f>IFERROR(__xludf.DUMMYFUNCTION("GOOGLETRANSLATE(A1795, ""yo"", ""en"")"),"The chairman of the Oyo state unit, Comrade Kayode Martins, said that the problem faced by the people did not exempt the workers.")</f>
        <v>The chairman of the Oyo state unit, Comrade Kayode Martins, said that the problem faced by the people did not exempt the workers.</v>
      </c>
    </row>
    <row r="1796" ht="15.75" customHeight="1">
      <c r="A1796" s="2" t="s">
        <v>1754</v>
      </c>
      <c r="B1796" s="2" t="str">
        <f>IFERROR(__xludf.DUMMYFUNCTION("GOOGLETRANSLATE(A1796, ""yo"", ""en"")"),"Comrade Martins is the workers who are exposed to the government programs that make things more difficult.")</f>
        <v>Comrade Martins is the workers who are exposed to the government programs that make things more difficult.</v>
      </c>
    </row>
    <row r="1797" ht="15.75" customHeight="1">
      <c r="A1797" s="2" t="s">
        <v>1755</v>
      </c>
      <c r="B1797" s="2" t="str">
        <f>IFERROR(__xludf.DUMMYFUNCTION("GOOGLETRANSLATE(A1788, ""yo"", ""en"")"),"Instead, he asked them to do their best to fight the conqueror.")</f>
        <v>Instead, he asked them to do their best to fight the conqueror.</v>
      </c>
    </row>
    <row r="1798" ht="15.75" customHeight="1">
      <c r="A1798" s="2" t="s">
        <v>1756</v>
      </c>
      <c r="B1798" s="2" t="str">
        <f>IFERROR(__xludf.DUMMYFUNCTION("GOOGLETRANSLATE(A1798, ""yo"", ""en"")"),"He has a lot of money for food and transport to work, and he spends more money on the workers.")</f>
        <v>He has a lot of money for food and transport to work, and he spends more money on the workers.</v>
      </c>
    </row>
    <row r="1799" ht="15.75" customHeight="1">
      <c r="A1799" s="2" t="s">
        <v>1757</v>
      </c>
      <c r="B1799" s="2" t="str">
        <f>IFERROR(__xludf.DUMMYFUNCTION("GOOGLETRANSLATE(A1799, ""yo"", ""en"")"),"Comrade Funmi Sessi who chaired the NLC group in Lagos state spoke on the importance of what should happen and how the government has not found a solution to the issue.")</f>
        <v>Comrade Funmi Sessi who chaired the NLC group in Lagos state spoke on the importance of what should happen and how the government has not found a solution to the issue.</v>
      </c>
    </row>
    <row r="1800" ht="15.75" customHeight="1">
      <c r="A1800" s="2" t="s">
        <v>1758</v>
      </c>
      <c r="B1800" s="2" t="str">
        <f>IFERROR(__xludf.DUMMYFUNCTION("GOOGLETRANSLATE(A1800, ""yo"", ""en"")"),"It has housing allowance, husband allowance, education allowance for children and food allowance for many workers in Nigeria.")</f>
        <v>It has housing allowance, husband allowance, education allowance for children and food allowance for many workers in Nigeria.</v>
      </c>
    </row>
    <row r="1801" ht="15.75" customHeight="1">
      <c r="A1801" s="2" t="s">
        <v>1759</v>
      </c>
      <c r="B1801" s="2" t="str">
        <f>IFERROR(__xludf.DUMMYFUNCTION("GOOGLETRANSLATE(A1801, ""yo"", ""en"")"),"Comrade Sessi, it's unfortunate that the government doesn't see anything to do with how money is going up and there's no digging at all.")</f>
        <v>Comrade Sessi, it's unfortunate that the government doesn't see anything to do with how money is going up and there's no digging at all.</v>
      </c>
    </row>
    <row r="1802" ht="15.75" customHeight="1">
      <c r="A1802" s="2" t="s">
        <v>1760</v>
      </c>
      <c r="B1802" s="2" t="str">
        <f>IFERROR(__xludf.DUMMYFUNCTION("GOOGLETRANSLATE(A1802, ""yo"", ""en"")"),"The Chairman of the TUC in Ogun State, Comrade Akeem Lasisi, has not motivated the workers to celebrate Labor Day this year with the city.")</f>
        <v>The Chairman of the TUC in Ogun State, Comrade Akeem Lasisi, has not motivated the workers to celebrate Labor Day this year with the city.</v>
      </c>
    </row>
    <row r="1803" ht="15.75" customHeight="1">
      <c r="A1803" s="2" t="s">
        <v>1761</v>
      </c>
      <c r="B1803" s="2" t="str">
        <f>IFERROR(__xludf.DUMMYFUNCTION("GOOGLETRANSLATE(A1803, ""yo"", ""en"")"),"In his speech, the Speaker of the House of Representatives in Abuja, Godswill Akpabio, commended the workers for their hard work for the development of the Nigerian economy.")</f>
        <v>In his speech, the Speaker of the House of Representatives in Abuja, Godswill Akpabio, commended the workers for their hard work for the development of the Nigerian economy.</v>
      </c>
    </row>
    <row r="1804" ht="15.75" customHeight="1">
      <c r="A1804" s="2" t="s">
        <v>1762</v>
      </c>
      <c r="B1804" s="2" t="str">
        <f>IFERROR(__xludf.DUMMYFUNCTION("GOOGLETRANSLATE(A1804, ""yo"", ""en"")"),"Akpabio said that Nigerian workers know how to work and they will never get tired of working.")</f>
        <v>Akpabio said that Nigerian workers know how to work and they will never get tired of working.</v>
      </c>
    </row>
    <row r="1805" ht="15.75" customHeight="1">
      <c r="A1805" s="2" t="s">
        <v>1763</v>
      </c>
      <c r="B1805" s="2" t="str">
        <f>IFERROR(__xludf.DUMMYFUNCTION("GOOGLETRANSLATE(A1805, ""yo"", ""en"")"),"The Speaker of the House of Representatives said in a press release issued by his adviser on politics and journalism, Eseme Eyiboh, that ""we lawmakers appreciate the hard work that Nigerian workers are doing for the development of our country's economy.")</f>
        <v>The Speaker of the House of Representatives said in a press release issued by his adviser on politics and journalism, Eseme Eyiboh, that "we lawmakers appreciate the hard work that Nigerian workers are doing for the development of our country's economy.</v>
      </c>
    </row>
    <row r="1806" ht="15.75" customHeight="1">
      <c r="A1806" s="2" t="s">
        <v>1764</v>
      </c>
      <c r="B1806" s="2" t="str">
        <f>IFERROR(__xludf.DUMMYFUNCTION("GOOGLETRANSLATE(A1806, ""yo"", ""en"")"),"I commend them for their patience with how everything is going with the Nigerian economy.")</f>
        <v>I commend them for their patience with how everything is going with the Nigerian economy.</v>
      </c>
    </row>
    <row r="1807" ht="15.75" customHeight="1">
      <c r="A1807" s="2" t="s">
        <v>1765</v>
      </c>
      <c r="B1807" s="2" t="str">
        <f>IFERROR(__xludf.DUMMYFUNCTION("GOOGLETRANSLATE(A1807, ""yo"", ""en"")"),"Although there are many challenges facing our economy, you workers are the trees behind the garden of the Nigerian economy.")</f>
        <v>Although there are many challenges facing our economy, you workers are the trees behind the garden of the Nigerian economy.</v>
      </c>
    </row>
    <row r="1808" ht="15.75" customHeight="1">
      <c r="A1808" s="2" t="s">
        <v>1766</v>
      </c>
      <c r="B1808" s="2" t="str">
        <f>IFERROR(__xludf.DUMMYFUNCTION("GOOGLETRANSLATE(A1808, ""yo"", ""en"")"),"The work you are doing is important for the development and progress of Nigeria.'' In her speech, the wife of the Nigerian president, Senator Oluremi Tinubu, congratulated the workers for the support they are doing for the Nigerian economy.")</f>
        <v>The work you are doing is important for the development and progress of Nigeria.'' In her speech, the wife of the Nigerian president, Senator Oluremi Tinubu, congratulated the workers for the support they are doing for the Nigerian economy.</v>
      </c>
    </row>
    <row r="1809" ht="15.75" customHeight="1">
      <c r="A1809" s="2" t="s">
        <v>1767</v>
      </c>
      <c r="B1809" s="2" t="str">
        <f>IFERROR(__xludf.DUMMYFUNCTION("GOOGLETRANSLATE(A1809, ""yo"", ""en"")"),"All over Nigeria, whether it is government or private employees, employees are the backbone of the economic development of Nigeria.")</f>
        <v>All over Nigeria, whether it is government or private employees, employees are the backbone of the economic development of Nigeria.</v>
      </c>
    </row>
    <row r="1810" ht="15.75" customHeight="1">
      <c r="A1810" s="2" t="s">
        <v>1768</v>
      </c>
      <c r="B1810" s="2" t="str">
        <f>IFERROR(__xludf.DUMMYFUNCTION("GOOGLETRANSLATE(A1810, ""yo"", ""en"")"),"I congratulate all workers, men and women, who are working every day for the development of the Nigerian economy, and I wish them a happy Labor Day this year,'' Tinubu said in a press release.")</f>
        <v>I congratulate all workers, men and women, who are working every day for the development of the Nigerian economy, and I wish them a happy Labor Day this year,'' Tinubu said in a press release.</v>
      </c>
    </row>
    <row r="1811" ht="15.75" customHeight="1">
      <c r="A1811" s="2" t="s">
        <v>1769</v>
      </c>
      <c r="B1811" s="2" t="str">
        <f>IFERROR(__xludf.DUMMYFUNCTION("GOOGLETRANSLATE(A1811, ""yo"", ""en"")"),"The President's wife at this year's Labor Day celebration is helping to remind everyone of the importance of giving everyone the opportunity to work without being left behind.")</f>
        <v>The President's wife at this year's Labor Day celebration is helping to remind everyone of the importance of giving everyone the opportunity to work without being left behind.</v>
      </c>
    </row>
    <row r="1812" ht="15.75" customHeight="1">
      <c r="A1812" s="2" t="s">
        <v>1770</v>
      </c>
      <c r="B1812" s="2" t="str">
        <f>IFERROR(__xludf.DUMMYFUNCTION("GOOGLETRANSLATE(A1812, ""yo"", ""en"")"),"Meanwhile, the noise that is still circulating is that perhaps among the governors who are planning to leave their political party is the Governor of Osun state, Senator Ademola Adeleke.")</f>
        <v>Meanwhile, the noise that is still circulating is that perhaps among the governors who are planning to leave their political party is the Governor of Osun state, Senator Ademola Adeleke.</v>
      </c>
    </row>
    <row r="1813" ht="15.75" customHeight="1">
      <c r="A1813" s="2" t="s">
        <v>1771</v>
      </c>
      <c r="B1813" s="2" t="str">
        <f>IFERROR(__xludf.DUMMYFUNCTION("GOOGLETRANSLATE(A1813, ""yo"", ""en"")"),"Amosha, the members of the government committee in Osun state have said that such a speech is a scam because governor Adeleke is not here at all than the PDP political party.")</f>
        <v>Amosha, the members of the government committee in Osun state have said that such a speech is a scam because governor Adeleke is not here at all than the PDP political party.</v>
      </c>
    </row>
    <row r="1814" ht="15.75" customHeight="1">
      <c r="A1814" s="2" t="s">
        <v>1772</v>
      </c>
      <c r="B1814" s="2" t="str">
        <f>IFERROR(__xludf.DUMMYFUNCTION("GOOGLETRANSLATE(A1814, ""yo"", ""en"")"),"At a meeting with journalists held on Aje day in Osogobo, the members of the government administration in Osun state stated that it is a big lie that there is a possibility that Governor Ademola Adeleke will leave PDP and join President Tinubu in APC.")</f>
        <v>At a meeting with journalists held on Aje day in Osogobo, the members of the government administration in Osun state stated that it is a big lie that there is a possibility that Governor Ademola Adeleke will leave PDP and join President Tinubu in APC.</v>
      </c>
    </row>
    <row r="1815" ht="15.75" customHeight="1">
      <c r="A1815" s="2" t="s">
        <v>1773</v>
      </c>
      <c r="B1815" s="2" t="str">
        <f>IFERROR(__xludf.DUMMYFUNCTION("GOOGLETRANSLATE(A1815, ""yo"", ""en"")"),"In his speech, President Dosu Babatunde who is acting as the secretary for the members of the state administration explained that those who are not interested in the political journey can say that they are leaving the PDP political party for another polit"&amp;"ical party.")</f>
        <v>In his speech, President Dosu Babatunde who is acting as the secretary for the members of the state administration explained that those who are not interested in the political journey can say that they are leaving the PDP political party for another political party.</v>
      </c>
    </row>
    <row r="1816" ht="15.75" customHeight="1">
      <c r="A1816" s="2" t="s">
        <v>1774</v>
      </c>
      <c r="B1816" s="2" t="str">
        <f>IFERROR(__xludf.DUMMYFUNCTION("GOOGLETRANSLATE(A1816, ""yo"", ""en"")"),"Governor Adeleke also left the APC political party to join the PDP political party after the death of his brother, Isiaka Adeleke, who was a senator in the party at the time.")</f>
        <v>Governor Adeleke also left the APC political party to join the PDP political party after the death of his brother, Isiaka Adeleke, who was a senator in the party at the time.</v>
      </c>
    </row>
    <row r="1817" ht="15.75" customHeight="1">
      <c r="A1817" s="2" t="s">
        <v>1775</v>
      </c>
      <c r="B1817" s="2" t="str">
        <f>IFERROR(__xludf.DUMMYFUNCTION("GOOGLETRANSLATE(A1817, ""yo"", ""en"")"),"Earlier, the governor of Delta state, Sheriff Oborevwori and his supporters left the PDP political party and joined the APC.")</f>
        <v>Earlier, the governor of Delta state, Sheriff Oborevwori and his supporters left the PDP political party and joined the APC.</v>
      </c>
    </row>
    <row r="1818" ht="15.75" customHeight="1">
      <c r="A1818" s="2" t="s">
        <v>1776</v>
      </c>
      <c r="B1818" s="2" t="str">
        <f>IFERROR(__xludf.DUMMYFUNCTION("GOOGLETRANSLATE(A1818, ""yo"", ""en"")"),"Those who supported the entry explained that what is there for is to call for a government system that will surprise the people.")</f>
        <v>Those who supported the entry explained that what is there for is to call for a government system that will surprise the people.</v>
      </c>
    </row>
    <row r="1819" ht="15.75" customHeight="1">
      <c r="A1819" s="2" t="s">
        <v>1777</v>
      </c>
      <c r="B1819" s="2" t="str">
        <f>IFERROR(__xludf.DUMMYFUNCTION("GOOGLETRANSLATE(A1819, ""yo"", ""en"")"),"Those who organized the protest have told people before that they should gather in places across Nigeria in order to participate in the protest.")</f>
        <v>Those who organized the protest have told people before that they should gather in places across Nigeria in order to participate in the protest.</v>
      </c>
    </row>
    <row r="1820" ht="15.75" customHeight="1">
      <c r="A1820" s="2" t="s">
        <v>1778</v>
      </c>
      <c r="B1820" s="2" t="str">
        <f>IFERROR(__xludf.DUMMYFUNCTION("GOOGLETRANSLATE(A1820, ""yo"", ""en"")"),"They are the ones who want to use access to things to end the way the government is using the law on online crime to silence the public.")</f>
        <v>They are the ones who want to use access to things to end the way the government is using the law on online crime to silence the public.</v>
      </c>
    </row>
    <row r="1821" ht="15.75" customHeight="1">
      <c r="A1821" s="2" t="s">
        <v>1779</v>
      </c>
      <c r="B1821" s="2" t="str">
        <f>IFERROR(__xludf.DUMMYFUNCTION("GOOGLETRANSLATE(A1821, ""yo"", ""en"")"),"The theme of the entry was called ""protest against the government system that is oppressing the people and suppressing the right of the people to speak"" as explained by the supporters of the entry.")</f>
        <v>The theme of the entry was called "protest against the government system that is oppressing the people and suppressing the right of the people to speak" as explained by the supporters of the entry.</v>
      </c>
    </row>
    <row r="1822" ht="15.75" customHeight="1">
      <c r="A1822" s="2" t="s">
        <v>1780</v>
      </c>
      <c r="B1822" s="2" t="str">
        <f>IFERROR(__xludf.DUMMYFUNCTION("GOOGLETRANSLATE(A1822, ""yo"", ""en"")"),"The leader of the group 'Take it back Movement', Comrade Sanyaolu Juwon and other members of the group, said that the law on online crime is being used by the government to arrest journalists, activists and Nigerians as a whole.")</f>
        <v>The leader of the group 'Take it back Movement', Comrade Sanyaolu Juwon and other members of the group, said that the law on online crime is being used by the government to arrest journalists, activists and Nigerians as a whole.</v>
      </c>
    </row>
    <row r="1823" ht="15.75" customHeight="1">
      <c r="A1823" s="2" t="s">
        <v>1781</v>
      </c>
      <c r="B1823" s="2" t="str">
        <f>IFERROR(__xludf.DUMMYFUNCTION("GOOGLETRANSLATE(A1823, ""yo"", ""en"")"),"The activists are calling on the government to repeal this law in order to protect the rights of the people as it is in the Nigerian Constitution.")</f>
        <v>The activists are calling on the government to repeal this law in order to protect the rights of the people as it is in the Nigerian Constitution.</v>
      </c>
    </row>
    <row r="1824" ht="15.75" customHeight="1">
      <c r="A1824" s="2" t="s">
        <v>1782</v>
      </c>
      <c r="B1824" s="2" t="str">
        <f>IFERROR(__xludf.DUMMYFUNCTION("GOOGLETRANSLATE(A1824, ""yo"", ""en"")"),"They said they will not stop protesting until the government repeals the law.")</f>
        <v>They said they will not stop protesting until the government repeals the law.</v>
      </c>
    </row>
    <row r="1825" ht="15.75" customHeight="1">
      <c r="A1825" s="2" t="s">
        <v>1783</v>
      </c>
      <c r="B1825" s="2" t="str">
        <f>IFERROR(__xludf.DUMMYFUNCTION("GOOGLETRANSLATE(A1825, ""yo"", ""en"")"),"The Nigerian government at this time is writing the critical ones.")</f>
        <v>The Nigerian government at this time is writing the critical ones.</v>
      </c>
    </row>
    <row r="1826" ht="15.75" customHeight="1">
      <c r="A1826" s="2" t="s">
        <v>1784</v>
      </c>
      <c r="B1826" s="2" t="str">
        <f>IFERROR(__xludf.DUMMYFUNCTION("GOOGLETRANSLATE(A1826, ""yo"", ""en"")"),"The head of the police department, Olumuyiwa Adejobī, stated in a press release that the entry was made by the government on the 7th of April that the government had set aside for the police officers and their supporters to enter.")</f>
        <v>The head of the police department, Olumuyiwa Adejobī, stated in a press release that the entry was made by the government on the 7th of April that the government had set aside for the police officers and their supporters to enter.</v>
      </c>
    </row>
    <row r="1827" ht="15.75" customHeight="1">
      <c r="A1827" s="2" t="s">
        <v>1785</v>
      </c>
      <c r="B1827" s="2" t="str">
        <f>IFERROR(__xludf.DUMMYFUNCTION("GOOGLETRANSLATE(A1827, ""yo"", ""en"")"),"Adejobi said the Chief of the Nigerian Police, Kayode Egbetokun, respects the rights of the people, but he wants the detainees to take the right way under the law to express what they want from the government.")</f>
        <v>Adejobi said the Chief of the Nigerian Police, Kayode Egbetokun, respects the rights of the people, but he wants the detainees to take the right way under the law to express what they want from the government.</v>
      </c>
    </row>
    <row r="1828" ht="15.75" customHeight="1">
      <c r="A1828" s="2" t="s">
        <v>1786</v>
      </c>
      <c r="B1828" s="2" t="str">
        <f>IFERROR(__xludf.DUMMYFUNCTION("GOOGLETRANSLATE(A1828, ""yo"", ""en"")"),"He said our police chief urged all the applicants to discuss with the government what they are asking for.")</f>
        <v>He said our police chief urged all the applicants to discuss with the government what they are asking for.</v>
      </c>
    </row>
    <row r="1829" ht="15.75" customHeight="1">
      <c r="A1829" s="2" t="s">
        <v>1787</v>
      </c>
      <c r="B1829" s="2" t="str">
        <f>IFERROR(__xludf.DUMMYFUNCTION("GOOGLETRANSLATE(A1829, ""yo"", ""en"")"),"Ifenhonuhan takes place in Nigeria as decided by those who support it.")</f>
        <v>Ifenhonuhan takes place in Nigeria as decided by those who support it.</v>
      </c>
    </row>
    <row r="1830" ht="15.75" customHeight="1">
      <c r="A1830" s="2" t="s">
        <v>1788</v>
      </c>
      <c r="B1830" s="2" t="str">
        <f>IFERROR(__xludf.DUMMYFUNCTION("GOOGLETRANSLATE(A1830, ""yo"", ""en"")"),"We heard that the police are with those who are indulging in some states.")</f>
        <v>We heard that the police are with those who are indulging in some states.</v>
      </c>
    </row>
    <row r="1831" ht="15.75" customHeight="1">
      <c r="A1831" s="2" t="s">
        <v>1789</v>
      </c>
      <c r="B1831" s="2" t="str">
        <f>IFERROR(__xludf.DUMMYFUNCTION("GOOGLETRANSLATE(A1831, ""yo"", ""en"")"),"In Lagos state, the protesters started protesting from Ikeja area, and marched to the government office in Alausa from there.")</f>
        <v>In Lagos state, the protesters started protesting from Ikeja area, and marched to the government office in Alausa from there.</v>
      </c>
    </row>
    <row r="1832" ht="15.75" customHeight="1">
      <c r="A1832" s="2" t="s">
        <v>1790</v>
      </c>
      <c r="B1832" s="2" t="str">
        <f>IFERROR(__xludf.DUMMYFUNCTION("GOOGLETRANSLATE(A1832, ""yo"", ""en"")"),"Many of them took it upon themselves to write various things that they were asking for.")</f>
        <v>Many of them took it upon themselves to write various things that they were asking for.</v>
      </c>
    </row>
    <row r="1833" ht="15.75" customHeight="1">
      <c r="A1833" s="2" t="s">
        <v>1791</v>
      </c>
      <c r="B1833" s="2" t="str">
        <f>IFERROR(__xludf.DUMMYFUNCTION("GOOGLETRANSLATE(A1833, ""yo"", ""en"")"),"In Rivers state, infiltrators went on the rampage in Port Harcourt after the police were forced to disperse them.")</f>
        <v>In Rivers state, infiltrators went on the rampage in Port Harcourt after the police were forced to disperse them.</v>
      </c>
    </row>
    <row r="1834" ht="15.75" customHeight="1">
      <c r="A1834" s="2" t="s">
        <v>1792</v>
      </c>
      <c r="B1834" s="2" t="str">
        <f>IFERROR(__xludf.DUMMYFUNCTION("GOOGLETRANSLATE(A1834, ""yo"", ""en"")"),"A video that has surfaced online shows how a police officer is shouting at the crowd of protesters in Port Harcourt.")</f>
        <v>A video that has surfaced online shows how a police officer is shouting at the crowd of protesters in Port Harcourt.</v>
      </c>
    </row>
    <row r="1835" ht="15.75" customHeight="1">
      <c r="A1835" s="2" t="s">
        <v>1793</v>
      </c>
      <c r="B1835" s="2" t="str">
        <f>IFERROR(__xludf.DUMMYFUNCTION("GOOGLETRANSLATE(A1835, ""yo"", ""en"")"),"In the same way, the only child in the city of Abuja has been made the capital of Nigeria.")</f>
        <v>In the same way, the only child in the city of Abuja has been made the capital of Nigeria.</v>
      </c>
    </row>
    <row r="1836" ht="15.75" customHeight="1">
      <c r="A1836" s="2" t="s">
        <v>1794</v>
      </c>
      <c r="B1836" s="2" t="str">
        <f>IFERROR(__xludf.DUMMYFUNCTION("GOOGLETRANSLATE(A1836, ""yo"", ""en"")"),"What we heard is that the police are too eager to disperse the intruders in Abuja as well.")</f>
        <v>What we heard is that the police are too eager to disperse the intruders in Abuja as well.</v>
      </c>
    </row>
    <row r="1837" ht="15.75" customHeight="1">
      <c r="A1837" s="2" t="s">
        <v>1795</v>
      </c>
      <c r="B1837" s="2" t="str">
        <f>IFERROR(__xludf.DUMMYFUNCTION("GOOGLETRANSLATE(A1837, ""yo"", ""en"")"),"Makinde's government's effort to expand the economy of Oyo state is bearing good fruit with some private companies that are afraid of it.")</f>
        <v>Makinde's government's effort to expand the economy of Oyo state is bearing good fruit with some private companies that are afraid of it.</v>
      </c>
    </row>
    <row r="1838" ht="15.75" customHeight="1">
      <c r="A1838" s="2" t="s">
        <v>1796</v>
      </c>
      <c r="B1838" s="2" t="str">
        <f>IFERROR(__xludf.DUMMYFUNCTION("GOOGLETRANSLATE(A1838, ""yo"", ""en"")"),"The governor has many of the private companies that are establishing well across Oyo state now.")</f>
        <v>The governor has many of the private companies that are establishing well across Oyo state now.</v>
      </c>
    </row>
    <row r="1839" ht="15.75" customHeight="1">
      <c r="A1839" s="2" t="s">
        <v>1797</v>
      </c>
      <c r="B1839" s="2" t="str">
        <f>IFERROR(__xludf.DUMMYFUNCTION("GOOGLETRANSLATE(A1839, ""yo"", ""en"")"),"Makinde was born at the time when kings, Muslims, messengers of God and those who held one position or another in the government visited him at his home in Ikolaba area of ​​Ibadan for the celebration of the fasting year.")</f>
        <v>Makinde was born at the time when kings, Muslims, messengers of God and those who held one position or another in the government visited him at his home in Ikolaba area of ​​Ibadan for the celebration of the fasting year.</v>
      </c>
    </row>
    <row r="1840" ht="15.75" customHeight="1">
      <c r="A1840" s="2" t="s">
        <v>1798</v>
      </c>
      <c r="B1840" s="2" t="str">
        <f>IFERROR(__xludf.DUMMYFUNCTION("GOOGLETRANSLATE(A1840, ""yo"", ""en"")"),"Political commentators such as Otun Olubadan of Ibadan, Senator Rashidi Ladoja, Oloye Sharafabdeen Alli who is the senator representing Oyo southern region, the deputy general chairman of the PDP political party, Taofeek Arapaja and Professor Kamil Oloso "&amp;"of the deputy governor of Oyo state, Abdulraheem Bayo Lawal, were among those who visited Makinde at his home.")</f>
        <v>Political commentators such as Otun Olubadan of Ibadan, Senator Rashidi Ladoja, Oloye Sharafabdeen Alli who is the senator representing Oyo southern region, the deputy general chairman of the PDP political party, Taofeek Arapaja and Professor Kamil Oloso of the deputy governor of Oyo state, Abdulraheem Bayo Lawal, were among those who visited Makinde at his home.</v>
      </c>
    </row>
    <row r="1841" ht="15.75" customHeight="1">
      <c r="A1841" s="2" t="s">
        <v>1799</v>
      </c>
      <c r="B1841" s="2" t="str">
        <f>IFERROR(__xludf.DUMMYFUNCTION("GOOGLETRANSLATE(A1841, ""yo"", ""en"")"),"Makinde in the development and economy of Oyo state which is now stable does not mean peace and harmony with the unity among the people of the state.")</f>
        <v>Makinde in the development and economy of Oyo state which is now stable does not mean peace and harmony with the unity among the people of the state.</v>
      </c>
    </row>
    <row r="1842" ht="15.75" customHeight="1">
      <c r="A1842" s="2" t="s">
        <v>1800</v>
      </c>
      <c r="B1842" s="2" t="str">
        <f>IFERROR(__xludf.DUMMYFUNCTION("GOOGLETRANSLATE(A1842, ""yo"", ""en"")"),"BBC News Yoruba news on your WhatsApp Join us there End of podcast promotion The governor has urged the people to live together in peace, so that development can continue in Oyo state.")</f>
        <v>BBC News Yoruba news on your WhatsApp Join us there End of podcast promotion The governor has urged the people to live together in peace, so that development can continue in Oyo state.</v>
      </c>
    </row>
    <row r="1843" ht="15.75" customHeight="1">
      <c r="A1843" s="2" t="s">
        <v>1801</v>
      </c>
      <c r="B1843" s="2" t="str">
        <f>IFERROR(__xludf.DUMMYFUNCTION("GOOGLETRANSLATE(A1843, ""yo"", ""en"")"),"''If we can live with each other with unity and peace, progress and development will come to our country.")</f>
        <v>''If we can live with each other with unity and peace, progress and development will come to our country.</v>
      </c>
    </row>
    <row r="1844" ht="15.75" customHeight="1">
      <c r="A1844" s="2" t="s">
        <v>1802</v>
      </c>
      <c r="B1844" s="4" t="str">
        <f>IFERROR(__xludf.DUMMYFUNCTION("GOOGLETRANSLATE(A1844, ""yo"", ""en"")"),"This is what is happening now in Oyo state, if we have patience, everything we want to do will become easy.")</f>
        <v>This is what is happening now in Oyo state, if we have patience, everything we want to do will become easy.</v>
      </c>
    </row>
    <row r="1845" ht="15.75" customHeight="1">
      <c r="A1845" s="2" t="s">
        <v>1803</v>
      </c>
      <c r="B1845" s="3" t="str">
        <f>IFERROR(__xludf.DUMMYFUNCTION("GOOGLETRANSLATE(A1845, ""yo"", ""en"")"),"One of the things we want is that the economy in Oyo state is well established.")</f>
        <v>One of the things we want is that the economy in Oyo state is well established.</v>
      </c>
    </row>
    <row r="1846" ht="15.75" customHeight="1">
      <c r="A1846" s="2" t="s">
        <v>1804</v>
      </c>
      <c r="B1846" s="2" t="str">
        <f>IFERROR(__xludf.DUMMYFUNCTION("GOOGLETRANSLATE(A1846, ""yo"", ""en"")"),"Right now, every four weeks, about ₦24bn is flowing into our economy through workers' salaries.")</f>
        <v>Right now, every four weeks, about ₦24bn is flowing into our economy through workers' salaries.</v>
      </c>
    </row>
    <row r="1847" ht="15.75" customHeight="1">
      <c r="A1847" s="2" t="s">
        <v>1805</v>
      </c>
      <c r="B1847" s="2" t="str">
        <f>IFERROR(__xludf.DUMMYFUNCTION("GOOGLETRANSLATE(A1847, ""yo"", ""en"")"),"₦14bn is paid monthly to state employees, while ₦10bn goes to local government employees monthly,'' Makinde said.")</f>
        <v>₦14bn is paid monthly to state employees, while ₦10bn goes to local government employees monthly,'' Makinde said.</v>
      </c>
    </row>
    <row r="1848" ht="15.75" customHeight="1">
      <c r="A1848" s="2" t="s">
        <v>1806</v>
      </c>
      <c r="B1848" s="2" t="str">
        <f>IFERROR(__xludf.DUMMYFUNCTION("GOOGLETRANSLATE(A1848, ""yo"", ""en"")"),"Makinde added that many businessmen are now looking for money without fear.")</f>
        <v>Makinde added that many businessmen are now looking for money without fear.</v>
      </c>
    </row>
    <row r="1849" ht="15.75" customHeight="1">
      <c r="A1849" s="2" t="s">
        <v>1807</v>
      </c>
      <c r="B1849" s="2" t="str">
        <f>IFERROR(__xludf.DUMMYFUNCTION("GOOGLETRANSLATE(A1849, ""yo"", ""en"")"),"The governor of Oyo state has urged the political leaders in Nigeria to do good for the people because the city is not ready at the moment.")</f>
        <v>The governor of Oyo state has urged the political leaders in Nigeria to do good for the people because the city is not ready at the moment.</v>
      </c>
    </row>
    <row r="1850" ht="15.75" customHeight="1">
      <c r="A1850" s="2" t="s">
        <v>1808</v>
      </c>
      <c r="B1850" s="2" t="str">
        <f>IFERROR(__xludf.DUMMYFUNCTION("GOOGLETRANSLATE(A1850, ""yo"", ""en"")"),"In his speech, the Olubadan of Ibadan, Oba Owolabi Olakulehin, who was represented by the Right Olubadan, Rashidi Ladoja, urged the people of Oyo state to be patient with the government and not lose hope.")</f>
        <v>In his speech, the Olubadan of Ibadan, Oba Owolabi Olakulehin, who was represented by the Right Olubadan, Rashidi Ladoja, urged the people of Oyo state to be patient with the government and not lose hope.</v>
      </c>
    </row>
    <row r="1851" ht="15.75" customHeight="1">
      <c r="A1851" s="2" t="s">
        <v>1809</v>
      </c>
      <c r="B1851" s="2" t="str">
        <f>IFERROR(__xludf.DUMMYFUNCTION("GOOGLETRANSLATE(A1851, ""yo"", ""en"")"),"The Oyo state deputy governor slammed the governor on how his government is paying workers adequate salaries and on how he is governing with the fear of God and truth.")</f>
        <v>The Oyo state deputy governor slammed the governor on how his government is paying workers adequate salaries and on how he is governing with the fear of God and truth.</v>
      </c>
    </row>
    <row r="1852" ht="15.75" customHeight="1">
      <c r="A1852" s="2" t="s">
        <v>1810</v>
      </c>
      <c r="B1852" s="2" t="str">
        <f>IFERROR(__xludf.DUMMYFUNCTION("ARRAYFORMULA(GOOGLETRANSLATE(A1852:A2480,""yo"",""en""))"),"The commissioner for information in the state, Kolapo Alimi, described the APC political party's call for the city to collapse in Osun as selfish and illegal.")</f>
        <v>The commissioner for information in the state, Kolapo Alimi, described the APC political party's call for the city to collapse in Osun as selfish and illegal.</v>
      </c>
    </row>
    <row r="1853" ht="15.75" customHeight="1">
      <c r="A1853" s="2" t="s">
        <v>1811</v>
      </c>
      <c r="B1853" s="2" t="str">
        <f>IFERROR(__xludf.DUMMYFUNCTION("GOOGLETRANSLATE(A1853, ""yo"", ""en"")"),"Similarly, the spokesperson of PDD in Osun, Oladele Bamiji, accused the APC that the party is looking for a way to forcibly take over the power of the Osun state government from Adeleke.")</f>
        <v>Similarly, the spokesperson of PDD in Osun, Oladele Bamiji, accused the APC that the party is looking for a way to forcibly take over the power of the Osun state government from Adeleke.</v>
      </c>
    </row>
    <row r="1854" ht="15.75" customHeight="1">
      <c r="A1854" s="2" t="s">
        <v>1812</v>
      </c>
      <c r="B1854" s="2" t="str">
        <f>IFERROR(__xludf.DUMMYFUNCTION("GOOGLETRANSLATE(A1854, ""yo"", ""en"")"),"If you don't forget, conflict broke out in Osun state a few weeks ago before the local government elections, where six people lost their lives and their offices were taken from there.")</f>
        <v>If you don't forget, conflict broke out in Osun state a few weeks ago before the local government elections, where six people lost their lives and their offices were taken from there.</v>
      </c>
    </row>
    <row r="1855" ht="15.75" customHeight="1">
      <c r="A1855" s="2" t="s">
        <v>1813</v>
      </c>
      <c r="B1855" s="2" t="str">
        <f>IFERROR(__xludf.DUMMYFUNCTION("GOOGLETRANSLATE(A1855, ""yo"", ""en"")"),"Now, the Commissioner for Information in Osun state, Kolapo Alimi, has said that there is a stark difference between what happened in Rivers state and what happened in Osun.")</f>
        <v>Now, the Commissioner for Information in Osun state, Kolapo Alimi, has said that there is a stark difference between what happened in Rivers state and what happened in Osun.</v>
      </c>
    </row>
    <row r="1856" ht="15.75" customHeight="1">
      <c r="A1856" s="2" t="s">
        <v>1814</v>
      </c>
      <c r="B1856" s="2" t="str">
        <f>IFERROR(__xludf.DUMMYFUNCTION("GOOGLETRANSLATE(A1856, ""yo"", ""en"")"),"The commissioner advised the APC to stop trying to disturb the peaceful waters of Osun state due to its attempt to seize government power through terror.")</f>
        <v>The commissioner advised the APC to stop trying to disturb the peaceful waters of Osun state due to its attempt to seize government power through terror.</v>
      </c>
    </row>
    <row r="1857" ht="15.75" customHeight="1">
      <c r="A1857" s="2" t="s">
        <v>1815</v>
      </c>
      <c r="B1857" s="2" t="str">
        <f>IFERROR(__xludf.DUMMYFUNCTION("GOOGLETRANSLATE(A1857, ""yo"", ""en"")"),"He said, ""I have read what the person who is trying to force us and the person who is always talking about things, Senator Ajibola Basiru said that President Tinubu should declare the city of Osun as he did in Rivers state.")</f>
        <v>He said, "I have read what the person who is trying to force us and the person who is always talking about things, Senator Ajibola Basiru said that President Tinubu should declare the city of Osun as he did in Rivers state.</v>
      </c>
    </row>
    <row r="1858" ht="15.75" customHeight="1">
      <c r="A1858" s="2" t="s">
        <v>1816</v>
      </c>
      <c r="B1858" s="2" t="str">
        <f>IFERROR(__xludf.DUMMYFUNCTION("GOOGLETRANSLATE(A1858, ""yo"", ""en"")"),"""I want it to be known that Basiru is not the only one who has this kind of intention but not the entire APC and their supporters in Osun because every day they are looking for a bad way to take over the government.")</f>
        <v>"I want it to be known that Basiru is not the only one who has this kind of intention but not the entire APC and their supporters in Osun because every day they are looking for a bad way to take over the government.</v>
      </c>
    </row>
    <row r="1859" ht="15.75" customHeight="1">
      <c r="A1859" s="2" t="s">
        <v>1817</v>
      </c>
      <c r="B1859" s="2" t="str">
        <f>IFERROR(__xludf.DUMMYFUNCTION("GOOGLETRANSLATE(A1859, ""yo"", ""en"")"),"""But with the strength of God and the people's support for Ademola Adeleke's government, all their efforts will fail."" After that he called on President Bola Tinubu not to care about people's efforts if he sings songs like that.")</f>
        <v>"But with the strength of God and the people's support for Ademola Adeleke's government, all their efforts will fail." After that he called on President Bola Tinubu not to care about people's efforts if he sings songs like that.</v>
      </c>
    </row>
    <row r="1860" ht="15.75" customHeight="1">
      <c r="A1860" s="2" t="s">
        <v>1818</v>
      </c>
      <c r="B1860" s="2" t="str">
        <f>IFERROR(__xludf.DUMMYFUNCTION("GOOGLETRANSLATE(A1562, ""yo"", ""en"")"),"The FCSC said in the publication that ""every employee must follow the sound check procedure.")</f>
        <v>The FCSC said in the publication that "every employee must follow the sound check procedure.</v>
      </c>
    </row>
    <row r="1861" ht="15.75" customHeight="1">
      <c r="A1861" s="2" t="s">
        <v>1819</v>
      </c>
      <c r="B1861" s="2" t="str">
        <f>IFERROR(__xludf.DUMMYFUNCTION("GOOGLETRANSLATE(A1861, ""yo"", ""en"")"),"Fagbemi said ""What do you think should not be done?")</f>
        <v>Fagbemi said "What do you think should not be done?</v>
      </c>
    </row>
    <row r="1862" ht="15.75" customHeight="1">
      <c r="A1862" s="2" t="s">
        <v>1820</v>
      </c>
      <c r="B1862" s="2" t="s">
        <v>3</v>
      </c>
    </row>
    <row r="1863" ht="15.75" customHeight="1">
      <c r="A1863" s="2" t="s">
        <v>1821</v>
      </c>
      <c r="B1863" s="2" t="s">
        <v>5</v>
      </c>
    </row>
    <row r="1864" ht="15.75" customHeight="1">
      <c r="A1864" s="2" t="s">
        <v>1822</v>
      </c>
      <c r="B1864" s="3" t="s">
        <v>7</v>
      </c>
    </row>
    <row r="1865" ht="15.75" customHeight="1">
      <c r="A1865" s="2" t="s">
        <v>1823</v>
      </c>
      <c r="B1865" s="2" t="s">
        <v>9</v>
      </c>
    </row>
    <row r="1866" ht="15.75" customHeight="1">
      <c r="A1866" s="2" t="s">
        <v>1824</v>
      </c>
      <c r="B1866" s="2" t="s">
        <v>11</v>
      </c>
    </row>
    <row r="1867" ht="15.75" customHeight="1">
      <c r="A1867" s="2" t="s">
        <v>1825</v>
      </c>
      <c r="B1867" s="2" t="s">
        <v>13</v>
      </c>
    </row>
    <row r="1868" ht="15.75" customHeight="1">
      <c r="A1868" s="2" t="s">
        <v>1826</v>
      </c>
      <c r="B1868" s="2" t="s">
        <v>15</v>
      </c>
    </row>
    <row r="1869" ht="15.75" customHeight="1">
      <c r="A1869" s="2" t="s">
        <v>1827</v>
      </c>
      <c r="B1869" s="2" t="s">
        <v>17</v>
      </c>
    </row>
    <row r="1870" ht="15.75" customHeight="1">
      <c r="A1870" s="2" t="s">
        <v>1828</v>
      </c>
      <c r="B1870" s="2" t="s">
        <v>19</v>
      </c>
    </row>
    <row r="1871" ht="15.75" customHeight="1">
      <c r="A1871" s="2" t="s">
        <v>1829</v>
      </c>
      <c r="B1871" s="2" t="s">
        <v>21</v>
      </c>
    </row>
    <row r="1872" ht="15.75" customHeight="1">
      <c r="A1872" s="2" t="s">
        <v>1830</v>
      </c>
      <c r="B1872" s="2" t="s">
        <v>23</v>
      </c>
    </row>
    <row r="1873" ht="15.75" customHeight="1">
      <c r="A1873" s="2" t="s">
        <v>1831</v>
      </c>
      <c r="B1873" s="2" t="s">
        <v>25</v>
      </c>
    </row>
    <row r="1874" ht="15.75" customHeight="1">
      <c r="A1874" s="2" t="s">
        <v>1832</v>
      </c>
      <c r="B1874" s="2" t="s">
        <v>27</v>
      </c>
    </row>
    <row r="1875" ht="15.75" customHeight="1">
      <c r="A1875" s="2" t="s">
        <v>1833</v>
      </c>
      <c r="B1875" s="2" t="str">
        <f>IFERROR(__xludf.DUMMYFUNCTION("GOOGLETRANSLATE(A1875, ""yo"", ""en"")"),"While speaking on his X post after the announcement of the President, Atiku Abubakar who himself has criticized the situation many times said that what Tinubu did was not good enough.")</f>
        <v>While speaking on his X post after the announcement of the President, Atiku Abubakar who himself has criticized the situation many times said that what Tinubu did was not good enough.</v>
      </c>
    </row>
    <row r="1876" ht="15.75" customHeight="1">
      <c r="A1876" s="2" t="s">
        <v>1834</v>
      </c>
      <c r="B1876" s="2" t="s">
        <v>30</v>
      </c>
    </row>
    <row r="1877" ht="15.75" customHeight="1">
      <c r="A1877" s="2" t="s">
        <v>1835</v>
      </c>
      <c r="B1877" s="2" t="s">
        <v>32</v>
      </c>
    </row>
    <row r="1878" ht="15.75" customHeight="1">
      <c r="A1878" s="2" t="s">
        <v>1836</v>
      </c>
      <c r="B1878" s="2" t="s">
        <v>34</v>
      </c>
    </row>
    <row r="1879" ht="15.75" customHeight="1">
      <c r="A1879" s="2" t="s">
        <v>1837</v>
      </c>
      <c r="B1879" s="2" t="s">
        <v>36</v>
      </c>
    </row>
    <row r="1880" ht="15.75" customHeight="1">
      <c r="A1880" s="2" t="s">
        <v>1838</v>
      </c>
      <c r="B1880" s="2" t="s">
        <v>38</v>
      </c>
    </row>
    <row r="1881" ht="15.75" customHeight="1">
      <c r="A1881" s="2" t="s">
        <v>1839</v>
      </c>
      <c r="B1881" s="2" t="s">
        <v>40</v>
      </c>
    </row>
    <row r="1882" ht="15.75" customHeight="1">
      <c r="A1882" s="2" t="s">
        <v>1840</v>
      </c>
      <c r="B1882" s="2" t="s">
        <v>42</v>
      </c>
    </row>
    <row r="1883" ht="15.75" customHeight="1">
      <c r="A1883" s="2" t="s">
        <v>1841</v>
      </c>
      <c r="B1883" s="2" t="s">
        <v>44</v>
      </c>
    </row>
    <row r="1884" ht="15.75" customHeight="1">
      <c r="A1884" s="2" t="s">
        <v>1842</v>
      </c>
      <c r="B1884" s="2" t="s">
        <v>46</v>
      </c>
    </row>
    <row r="1885" ht="15.75" customHeight="1">
      <c r="A1885" s="2" t="s">
        <v>1843</v>
      </c>
      <c r="B1885" s="2" t="s">
        <v>48</v>
      </c>
    </row>
    <row r="1886" ht="15.75" customHeight="1">
      <c r="A1886" s="2" t="s">
        <v>1844</v>
      </c>
      <c r="B1886" s="2" t="s">
        <v>50</v>
      </c>
    </row>
    <row r="1887" ht="15.75" customHeight="1">
      <c r="A1887" s="2" t="s">
        <v>1845</v>
      </c>
      <c r="B1887" s="2" t="s">
        <v>52</v>
      </c>
    </row>
    <row r="1888" ht="15.75" customHeight="1">
      <c r="A1888" s="2" t="s">
        <v>1846</v>
      </c>
      <c r="B1888" s="2" t="s">
        <v>54</v>
      </c>
    </row>
    <row r="1889" ht="15.75" customHeight="1">
      <c r="A1889" s="2" t="s">
        <v>1847</v>
      </c>
      <c r="B1889" s="2" t="s">
        <v>56</v>
      </c>
    </row>
    <row r="1890" ht="15.75" customHeight="1">
      <c r="A1890" s="2" t="s">
        <v>1848</v>
      </c>
      <c r="B1890" s="2" t="s">
        <v>58</v>
      </c>
    </row>
    <row r="1891" ht="15.75" customHeight="1">
      <c r="A1891" s="2" t="s">
        <v>1849</v>
      </c>
      <c r="B1891" s="2" t="s">
        <v>1850</v>
      </c>
    </row>
    <row r="1892" ht="15.75" customHeight="1">
      <c r="A1892" s="2" t="s">
        <v>1851</v>
      </c>
      <c r="B1892" s="2" t="str">
        <f>IFERROR(__xludf.DUMMYFUNCTION("GOOGLETRANSLATE(A1892, ""yo"", ""en"")"),"He said that since they have been fighting with each other, there has not been any progress in the state because they did not allow the people of the city to bring in the government of Awawarawa.")</f>
        <v>He said that since they have been fighting with each other, there has not been any progress in the state because they did not allow the people of the city to bring in the government of Awawarawa.</v>
      </c>
    </row>
    <row r="1893" ht="15.75" customHeight="1">
      <c r="A1893" s="2" t="s">
        <v>1852</v>
      </c>
      <c r="B1893" s="2" t="s">
        <v>63</v>
      </c>
    </row>
    <row r="1894" ht="15.75" customHeight="1">
      <c r="A1894" s="2" t="s">
        <v>1853</v>
      </c>
      <c r="B1894" s="2" t="s">
        <v>65</v>
      </c>
    </row>
    <row r="1895" ht="15.75" customHeight="1">
      <c r="A1895" s="2" t="s">
        <v>1854</v>
      </c>
      <c r="B1895" s="2" t="s">
        <v>67</v>
      </c>
    </row>
    <row r="1896" ht="15.75" customHeight="1">
      <c r="A1896" s="2" t="s">
        <v>1855</v>
      </c>
      <c r="B1896" s="2" t="s">
        <v>69</v>
      </c>
    </row>
    <row r="1897" ht="15.75" customHeight="1">
      <c r="A1897" s="2" t="s">
        <v>1856</v>
      </c>
      <c r="B1897" s="2" t="s">
        <v>71</v>
      </c>
    </row>
    <row r="1898" ht="15.75" customHeight="1">
      <c r="A1898" s="2" t="s">
        <v>1857</v>
      </c>
      <c r="B1898" s="2" t="s">
        <v>73</v>
      </c>
    </row>
    <row r="1899" ht="15.75" customHeight="1">
      <c r="A1899" s="2" t="s">
        <v>1858</v>
      </c>
      <c r="B1899" s="2" t="s">
        <v>75</v>
      </c>
    </row>
    <row r="1900" ht="15.75" customHeight="1">
      <c r="A1900" s="2" t="s">
        <v>1859</v>
      </c>
      <c r="B1900" s="2" t="str">
        <f>IFERROR(__xludf.DUMMYFUNCTION("GOOGLETRANSLATE(A1900, ""yo"", ""en"")"),"He believes that if the governors sign the killing of prisoners who were sentenced to death or change their sentence to life imprisonment, it will help to reduce the overcrowding in prisons.")</f>
        <v>He believes that if the governors sign the killing of prisoners who were sentenced to death or change their sentence to life imprisonment, it will help to reduce the overcrowding in prisons.</v>
      </c>
    </row>
    <row r="1901" ht="15.75" customHeight="1">
      <c r="A1901" s="2" t="s">
        <v>1860</v>
      </c>
      <c r="B1901" s="2" t="s">
        <v>78</v>
      </c>
    </row>
    <row r="1902" ht="15.75" customHeight="1">
      <c r="A1902" s="2" t="s">
        <v>1861</v>
      </c>
      <c r="B1902" s="2" t="s">
        <v>80</v>
      </c>
    </row>
    <row r="1903" ht="15.75" customHeight="1">
      <c r="A1903" s="2" t="s">
        <v>1862</v>
      </c>
      <c r="B1903" s="2" t="s">
        <v>82</v>
      </c>
    </row>
    <row r="1904" ht="15.75" customHeight="1">
      <c r="A1904" s="2" t="s">
        <v>1863</v>
      </c>
      <c r="B1904" s="2" t="s">
        <v>84</v>
      </c>
    </row>
    <row r="1905" ht="15.75" customHeight="1">
      <c r="A1905" s="2" t="s">
        <v>1864</v>
      </c>
      <c r="B1905" s="2" t="s">
        <v>86</v>
      </c>
    </row>
    <row r="1906" ht="15.75" customHeight="1">
      <c r="A1906" s="2" t="s">
        <v>1865</v>
      </c>
      <c r="B1906" s="2" t="s">
        <v>88</v>
      </c>
    </row>
    <row r="1907" ht="15.75" customHeight="1">
      <c r="A1907" s="2" t="s">
        <v>1866</v>
      </c>
      <c r="B1907" s="2" t="s">
        <v>90</v>
      </c>
    </row>
    <row r="1908" ht="15.75" customHeight="1">
      <c r="A1908" s="2" t="s">
        <v>1867</v>
      </c>
      <c r="B1908" s="2" t="s">
        <v>92</v>
      </c>
    </row>
    <row r="1909" ht="15.75" customHeight="1">
      <c r="A1909" s="2" t="s">
        <v>1868</v>
      </c>
      <c r="B1909" s="2" t="s">
        <v>94</v>
      </c>
    </row>
    <row r="1910" ht="15.75" customHeight="1">
      <c r="A1910" s="2" t="s">
        <v>1869</v>
      </c>
      <c r="B1910" s="2" t="s">
        <v>96</v>
      </c>
    </row>
    <row r="1911" ht="15.75" customHeight="1">
      <c r="A1911" s="2" t="s">
        <v>1870</v>
      </c>
      <c r="B1911" s="2" t="s">
        <v>98</v>
      </c>
    </row>
    <row r="1912" ht="15.75" customHeight="1">
      <c r="A1912" s="2" t="s">
        <v>1871</v>
      </c>
      <c r="B1912" s="2" t="s">
        <v>100</v>
      </c>
    </row>
    <row r="1913" ht="15.75" customHeight="1">
      <c r="A1913" s="2" t="s">
        <v>1872</v>
      </c>
      <c r="B1913" s="2" t="str">
        <f>IFERROR(__xludf.DUMMYFUNCTION("GOOGLETRANSLATE(A1913, ""yo"", ""en"")"),"Collins explained that once the law has established a judgment, it is necessary for the authorities to establish a process by which the judgment will be implemented in accordance with the law.")</f>
        <v>Collins explained that once the law has established a judgment, it is necessary for the authorities to establish a process by which the judgment will be implemented in accordance with the law.</v>
      </c>
    </row>
    <row r="1914" ht="15.75" customHeight="1">
      <c r="A1914" s="2" t="s">
        <v>1873</v>
      </c>
      <c r="B1914" s="2" t="s">
        <v>103</v>
      </c>
    </row>
    <row r="1915" ht="15.75" customHeight="1">
      <c r="A1915" s="2" t="s">
        <v>1874</v>
      </c>
      <c r="B1915" s="2" t="s">
        <v>105</v>
      </c>
    </row>
    <row r="1916" ht="15.75" customHeight="1">
      <c r="A1916" s="2" t="s">
        <v>1875</v>
      </c>
      <c r="B1916" s="2" t="str">
        <f>IFERROR(__xludf.DUMMYFUNCTION("GOOGLETRANSLATE(A1916, ""yo"", ""en"")"),"Because of human rights, many governors do not want to sign death sentences for criminals.")</f>
        <v>Because of human rights, many governors do not want to sign death sentences for criminals.</v>
      </c>
    </row>
    <row r="1917" ht="15.75" customHeight="1">
      <c r="A1917" s="2" t="s">
        <v>1876</v>
      </c>
      <c r="B1917" s="2" t="str">
        <f>IFERROR(__xludf.DUMMYFUNCTION("GOOGLETRANSLATE(A1917, ""yo"", ""en"")"),"Instead of signing their death sentence, they put them in prison without any reason.")</f>
        <v>Instead of signing their death sentence, they put them in prison without any reason.</v>
      </c>
    </row>
    <row r="1918" ht="15.75" customHeight="1">
      <c r="A1918" s="2" t="s">
        <v>1877</v>
      </c>
      <c r="B1918" s="2" t="str">
        <f>IFERROR(__xludf.DUMMYFUNCTION("GOOGLETRANSLATE(A1918, ""yo"", ""en"")"),"Before they can kill a criminal in a prison, they need to get permission from the state governor, and many governors do not respect the permission.")</f>
        <v>Before they can kill a criminal in a prison, they need to get permission from the state governor, and many governors do not respect the permission.</v>
      </c>
    </row>
    <row r="1919" ht="15.75" customHeight="1">
      <c r="A1919" s="2" t="s">
        <v>1878</v>
      </c>
      <c r="B1919" s="4" t="s">
        <v>110</v>
      </c>
    </row>
    <row r="1920" ht="15.75" customHeight="1">
      <c r="A1920" s="2" t="s">
        <v>1879</v>
      </c>
      <c r="B1920" s="2" t="str">
        <f>IFERROR(__xludf.DUMMYFUNCTION("GOOGLETRANSLATE(A1920, ""yo"", ""en"")"),"Lawyer Adata Bio-Briggs told the BBC that many governors do not want to sign the document because it is difficult to sign that they are going to kill someone.")</f>
        <v>Lawyer Adata Bio-Briggs told the BBC that many governors do not want to sign the document because it is difficult to sign that they are going to kill someone.</v>
      </c>
    </row>
    <row r="1921" ht="15.75" customHeight="1">
      <c r="A1921" s="2" t="s">
        <v>1880</v>
      </c>
      <c r="B1921" s="2" t="str">
        <f>IFERROR(__xludf.DUMMYFUNCTION("GOOGLETRANSLATE(A1921, ""yo"", ""en"")"),"The lawyer explained another reason why it is difficult for the governor to sign the death sentence because they are transporting prisoners who are sentenced to death from one state to another.")</f>
        <v>The lawyer explained another reason why it is difficult for the governor to sign the death sentence because they are transporting prisoners who are sentenced to death from one state to another.</v>
      </c>
    </row>
    <row r="1922" ht="15.75" customHeight="1">
      <c r="A1922" s="2" t="s">
        <v>1881</v>
      </c>
      <c r="B1922" s="2" t="str">
        <f>IFERROR(__xludf.DUMMYFUNCTION("GOOGLETRANSLATE(A1922, ""yo"", ""en"")"),"He said the law allows prison authorities to transfer prisoners under sentence of death from one state to another.")</f>
        <v>He said the law allows prison authorities to transfer prisoners under sentence of death from one state to another.</v>
      </c>
    </row>
    <row r="1923" ht="15.75" customHeight="1">
      <c r="A1923" s="2" t="s">
        <v>1882</v>
      </c>
      <c r="B1923" s="2" t="str">
        <f>IFERROR(__xludf.DUMMYFUNCTION("GOOGLETRANSLATE(A1923, ""yo"", ""en"")"),"He has the governor of the state who has sentenced a prisoner and is authorized to sign the sentence of such a person.")</f>
        <v>He has the governor of the state who has sentenced a prisoner and is authorized to sign the sentence of such a person.</v>
      </c>
    </row>
    <row r="1924" ht="15.75" customHeight="1">
      <c r="A1924" s="2" t="s">
        <v>1883</v>
      </c>
      <c r="B1924" s="2" t="str">
        <f>IFERROR(__xludf.DUMMYFUNCTION("GOOGLETRANSLATE(A1924, ""yo"", ""en"")"),"He has an obstacle for the governor to sign the death of a person who is not in his state, and the governor of another state cannot deny it.")</f>
        <v>He has an obstacle for the governor to sign the death of a person who is not in his state, and the governor of another state cannot deny it.</v>
      </c>
    </row>
    <row r="1925" ht="15.75" customHeight="1">
      <c r="A1925" s="2" t="s">
        <v>1884</v>
      </c>
      <c r="B1925" s="2" t="str">
        <f>IFERROR(__xludf.DUMMYFUNCTION("GOOGLETRANSLATE(A1925, ""yo"", ""en"")"),"Another thing that can prevent the execution of the person sentenced to death is if there is no one to kill the criminal.")</f>
        <v>Another thing that can prevent the execution of the person sentenced to death is if there is no one to kill the criminal.</v>
      </c>
    </row>
    <row r="1926" ht="15.75" customHeight="1">
      <c r="A1926" s="2" t="s">
        <v>1885</v>
      </c>
      <c r="B1926" s="2" t="str">
        <f>IFERROR(__xludf.DUMMYFUNCTION("GOOGLETRANSLATE(A1926, ""yo"", ""en"")"),"As we said before that there are three levels in the way of killing a criminal.")</f>
        <v>As we said before that there are three levels in the way of killing a criminal.</v>
      </c>
    </row>
    <row r="1927" ht="15.75" customHeight="1">
      <c r="A1927" s="2" t="s">
        <v>1886</v>
      </c>
      <c r="B1927" s="2" t="str">
        <f>IFERROR(__xludf.DUMMYFUNCTION("GOOGLETRANSLATE(A1927, ""yo"", ""en"")"),"Many human rights activists are calling for the government to abolish the law of killing people in Nigeria instead of jailing criminals.")</f>
        <v>Many human rights activists are calling for the government to abolish the law of killing people in Nigeria instead of jailing criminals.</v>
      </c>
    </row>
    <row r="1928" ht="15.75" customHeight="1">
      <c r="A1928" s="2" t="s">
        <v>1887</v>
      </c>
      <c r="B1928" s="2" t="str">
        <f>IFERROR(__xludf.DUMMYFUNCTION("GOOGLETRANSLATE(A1928, ""yo"", ""en"")"),"They say that killing a criminal will not bring the dead back to life but they will spend the rest of their lives in prison.")</f>
        <v>They say that killing a criminal will not bring the dead back to life but they will spend the rest of their lives in prison.</v>
      </c>
    </row>
    <row r="1929" ht="15.75" customHeight="1">
      <c r="A1929" s="2" t="s">
        <v>1888</v>
      </c>
      <c r="B1929" s="2" t="str">
        <f>IFERROR(__xludf.DUMMYFUNCTION("GOOGLETRANSLATE(A1929, ""yo"", ""en"")"),"Jandor spoke on a Channel television program called ""Politics Today"" last night on Victory Day.")</f>
        <v>Jandor spoke on a Channel television program called "Politics Today" last night on Victory Day.</v>
      </c>
    </row>
    <row r="1930" ht="15.75" customHeight="1">
      <c r="A1930" s="2" t="s">
        <v>1889</v>
      </c>
      <c r="B1930" s="2" t="str">
        <f>IFERROR(__xludf.DUMMYFUNCTION("GOOGLETRANSLATE(A1930, ""yo"", ""en"")"),"Earlier this week, Jandor announced that he has left the PDP political party.")</f>
        <v>Earlier this week, Jandor announced that he has left the PDP political party.</v>
      </c>
    </row>
    <row r="1931" ht="15.75" customHeight="1">
      <c r="A1931" s="2" t="s">
        <v>1890</v>
      </c>
      <c r="B1931" s="2" t="str">
        <f>IFERROR(__xludf.DUMMYFUNCTION("GOOGLETRANSLATE(A1931, ""yo"", ""en"")"),"While speaking on the program, Jandor said, ""The 2023 general election program, Jandor has changed the way people look at the election program after Peter Obi, the presidential candidate, left LP and Bola Tinubu to enter the presidential election in Lago"&amp;"s state in 2023.")</f>
        <v>While speaking on the program, Jandor said, "The 2023 general election program, Jandor has changed the way people look at the election program after Peter Obi, the presidential candidate, left LP and Bola Tinubu to enter the presidential election in Lagos state in 2023.</v>
      </c>
    </row>
    <row r="1932" ht="15.75" customHeight="1">
      <c r="A1932" s="2" t="s">
        <v>1891</v>
      </c>
      <c r="B1932" s="2" t="str">
        <f>IFERROR(__xludf.DUMMYFUNCTION("GOOGLETRANSLATE(A1932, ""yo"", ""en"")"),"In case you forgot, INEC announced Sanwo-Olu of the APC political party as the winner of the 2023 Lagos state governorship election.")</f>
        <v>In case you forgot, INEC announced Sanwo-Olu of the APC political party as the winner of the 2023 Lagos state governorship election.</v>
      </c>
    </row>
    <row r="1933" ht="15.75" customHeight="1">
      <c r="A1933" s="2" t="s">
        <v>1892</v>
      </c>
      <c r="B1933" s="2" t="str">
        <f>IFERROR(__xludf.DUMMYFUNCTION("GOOGLETRANSLATE(A1933, ""yo"", ""en"")"),"BBC News Yoruba news on your WhatsApp Join us there End of podcast promotion INEC announced that Sanwo-Olu got 762,134 votes from Gbadebo Rhodes-Vivour LP political party who came second got 312,329 votes while Mr. Adediran came third with 62,449 votes.")</f>
        <v>BBC News Yoruba news on your WhatsApp Join us there End of podcast promotion INEC announced that Sanwo-Olu got 762,134 votes from Gbadebo Rhodes-Vivour LP political party who came second got 312,329 votes while Mr. Adediran came third with 62,449 votes.</v>
      </c>
    </row>
    <row r="1934" ht="15.75" customHeight="1">
      <c r="A1934" s="2" t="s">
        <v>1893</v>
      </c>
      <c r="B1934" s="2" t="str">
        <f>IFERROR(__xludf.DUMMYFUNCTION("GOOGLETRANSLATE(A1934, ""yo"", ""en"")"),"In the presidential election held before the governorship election in Lagos State, Obi who won the election got 582,454 votes while Tinubu followed him with 572,606 votes.")</f>
        <v>In the presidential election held before the governorship election in Lagos State, Obi who won the election got 582,454 votes while Tinubu followed him with 572,606 votes.</v>
      </c>
    </row>
    <row r="1935" ht="15.75" customHeight="1">
      <c r="A1935" s="2" t="s">
        <v>1894</v>
      </c>
      <c r="B1935" s="2" t="str">
        <f>IFERROR(__xludf.DUMMYFUNCTION("GOOGLETRANSLATE(A1935, ""yo"", ""en"")"),"Atiku Abubakar who is a PDP political party candidate came third with 75,750 votes.")</f>
        <v>Atiku Abubakar who is a PDP political party candidate came third with 75,750 votes.</v>
      </c>
    </row>
    <row r="1936" ht="15.75" customHeight="1">
      <c r="A1936" s="2" t="s">
        <v>1895</v>
      </c>
      <c r="B1936" s="2" t="str">
        <f>IFERROR(__xludf.DUMMYFUNCTION("GOOGLETRANSLATE(A1936, ""yo"", ""en"")"),"Jandor is the father's word that many people suddenly put on and work against the PDP in the 2023 governorship election in Eko.")</f>
        <v>Jandor is the father's word that many people suddenly put on and work against the PDP in the 2023 governorship election in Eko.</v>
      </c>
    </row>
    <row r="1937" ht="15.75" customHeight="1">
      <c r="A1937" s="2" t="s">
        <v>1896</v>
      </c>
      <c r="B1937" s="2" t="str">
        <f>IFERROR(__xludf.DUMMYFUNCTION("GOOGLETRANSLATE(A1937, ""yo"", ""en"")"),"Mr. Adediran explained that before the 2023 general elections, the PDP is gathering more people than the APC and cannot compete with them.")</f>
        <v>Mr. Adediran explained that before the 2023 general elections, the PDP is gathering more people than the APC and cannot compete with them.</v>
      </c>
    </row>
    <row r="1938" ht="15.75" customHeight="1">
      <c r="A1938" s="2" t="s">
        <v>1897</v>
      </c>
      <c r="B1938" s="2" t="str">
        <f>IFERROR(__xludf.DUMMYFUNCTION("GOOGLETRANSLATE(A1938, ""yo"", ""en"")"),"He went to many programs as a candidate for PDP governorship before the election process which Sanwo-Olu did not appear at all.")</f>
        <v>He went to many programs as a candidate for PDP governorship before the election process which Sanwo-Olu did not appear at all.</v>
      </c>
    </row>
    <row r="1939" ht="15.75" customHeight="1">
      <c r="A1939" s="2" t="s">
        <v>1898</v>
      </c>
      <c r="B1939" s="2" t="str">
        <f>IFERROR(__xludf.DUMMYFUNCTION("GOOGLETRANSLATE(A1939, ""yo"", ""en"")"),"He and Sanwo-Olu are Jandor and they are causing it before the presidential election where Obi has entered and this will change everything before the governorship election in Lagos state.")</f>
        <v>He and Sanwo-Olu are Jandor and they are causing it before the presidential election where Obi has entered and this will change everything before the governorship election in Lagos state.</v>
      </c>
    </row>
    <row r="1940" ht="15.75" customHeight="1">
      <c r="A1940" s="2" t="s">
        <v>1899</v>
      </c>
      <c r="B1940" s="2" t="str">
        <f>IFERROR(__xludf.DUMMYFUNCTION("GOOGLETRANSLATE(A1940, ""yo"", ""en"")"),"The PDP gubernatorial candidate in 2023 stated that Obi's success in the presidential election in Eko made many people vote for the LP political party in the gubernatorial election which led to the PDP.")</f>
        <v>The PDP gubernatorial candidate in 2023 stated that Obi's success in the presidential election in Eko made many people vote for the LP political party in the gubernatorial election which led to the PDP.</v>
      </c>
    </row>
    <row r="1941" ht="15.75" customHeight="1">
      <c r="A1941" s="2" t="s">
        <v>1900</v>
      </c>
      <c r="B1941" s="2" t="str">
        <f>IFERROR(__xludf.DUMMYFUNCTION("GOOGLETRANSLATE(A1941, ""yo"", ""en"")"),"Jandor said PDP as a political party no longer has faith in itself due to the crisis that is happening in the party.")</f>
        <v>Jandor said PDP as a political party no longer has faith in itself due to the crisis that is happening in the party.</v>
      </c>
    </row>
    <row r="1942" ht="15.75" customHeight="1">
      <c r="A1942" s="2" t="s">
        <v>1901</v>
      </c>
      <c r="B1942" s="2" t="str">
        <f>IFERROR(__xludf.DUMMYFUNCTION("GOOGLETRANSLATE(A1942, ""yo"", ""en"")"),"While speaking on a Channel television program called ""Politics Today,"" Mr. Adediran said that the trouble that was happening in the PDP from the top made him leave the party.")</f>
        <v>While speaking on a Channel television program called "Politics Today," Mr. Adediran said that the trouble that was happening in the PDP from the top made him leave the party.</v>
      </c>
    </row>
    <row r="1943" ht="15.75" customHeight="1">
      <c r="A1943" s="2" t="s">
        <v>1902</v>
      </c>
      <c r="B1943" s="2" t="str">
        <f>IFERROR(__xludf.DUMMYFUNCTION("GOOGLETRANSLATE(A1943, ""yo"", ""en"")"),"Jandor said that he thought about this step for several months before he announced that he had left the PDP party.")</f>
        <v>Jandor said that he thought about this step for several months before he announced that he had left the PDP party.</v>
      </c>
    </row>
    <row r="1944" ht="15.75" customHeight="1">
      <c r="A1944" s="2" t="s">
        <v>1903</v>
      </c>
      <c r="B1944" s="2" t="str">
        <f>IFERROR(__xludf.DUMMYFUNCTION("GOOGLETRANSLATE(A1944, ""yo"", ""en"")"),"He has the leaders of the PDP political party above and in Lagos state defeating him because they are opposing the members who are working for the progress of the party.")</f>
        <v>He has the leaders of the PDP political party above and in Lagos state defeating him because they are opposing the members who are working for the progress of the party.</v>
      </c>
    </row>
    <row r="1945" ht="15.75" customHeight="1">
      <c r="A1945" s="2" t="s">
        <v>1904</v>
      </c>
      <c r="B1945" s="2" t="str">
        <f>IFERROR(__xludf.DUMMYFUNCTION("GOOGLETRANSLATE(A1945, ""yo"", ""en"")"),"Jandor used his 2023 election campaign plan as an example of how the party's elders defeated him.")</f>
        <v>Jandor used his 2023 election campaign plan as an example of how the party's elders defeated him.</v>
      </c>
    </row>
    <row r="1946" ht="15.75" customHeight="1">
      <c r="A1946" s="2" t="s">
        <v>1905</v>
      </c>
      <c r="B1946" s="2" t="str">
        <f>IFERROR(__xludf.DUMMYFUNCTION("GOOGLETRANSLATE(A1946, ""yo"", ""en"")"),"The PDP gubernatorial candidate in the state in 2023 said that the political members are joining hands with the opposition party to avoid conflict.")</f>
        <v>The PDP gubernatorial candidate in the state in 2023 said that the political members are joining hands with the opposition party to avoid conflict.</v>
      </c>
    </row>
    <row r="1947" ht="15.75" customHeight="1">
      <c r="A1947" s="2" t="s">
        <v>1906</v>
      </c>
      <c r="B1947" s="2" t="str">
        <f>IFERROR(__xludf.DUMMYFUNCTION("GOOGLETRANSLATE(A1947, ""yo"", ""en"")"),"He said many leaders of the PDP political party in Lagos state saw his position as a gubernatorial candidate as something that could harm them.")</f>
        <v>He said many leaders of the PDP political party in Lagos state saw his position as a gubernatorial candidate as something that could harm them.</v>
      </c>
    </row>
    <row r="1948" ht="15.75" customHeight="1">
      <c r="A1948" s="2" t="s">
        <v>1907</v>
      </c>
      <c r="B1948" s="2" t="str">
        <f>IFERROR(__xludf.DUMMYFUNCTION("GOOGLETRANSLATE(A1948, ""yo"", ""en"")"),"Jandor remembers how the janduku attacked him during the party's election campaign and did not say anything about the incident.")</f>
        <v>Jandor remembers how the janduku attacked him during the party's election campaign and did not say anything about the incident.</v>
      </c>
    </row>
    <row r="1949" ht="15.75" customHeight="1">
      <c r="A1949" s="2" t="s">
        <v>1908</v>
      </c>
      <c r="B1949" s="2" t="str">
        <f>IFERROR(__xludf.DUMMYFUNCTION("GOOGLETRANSLATE(A1949, ""yo"", ""en"")"),"Mr. Adediran added that Chief Bode George who is one of the leaders of the party is supporting someone else to represent the PDP as a gubernatorial candidate for the PDP in the 2023 election.")</f>
        <v>Mr. Adediran added that Chief Bode George who is one of the leaders of the party is supporting someone else to represent the PDP as a gubernatorial candidate for the PDP in the 2023 election.</v>
      </c>
    </row>
    <row r="1950" ht="15.75" customHeight="1">
      <c r="A1950" s="2" t="s">
        <v>1909</v>
      </c>
      <c r="B1950" s="2" t="str">
        <f>IFERROR(__xludf.DUMMYFUNCTION("GOOGLETRANSLATE(A1950, ""yo"", ""en"")"),"Jandor said he is not yet able to say which political party he will join now, he said he will announce it in the future.")</f>
        <v>Jandor said he is not yet able to say which political party he will join now, he said he will announce it in the future.</v>
      </c>
    </row>
    <row r="1951" ht="15.75" customHeight="1">
      <c r="A1951" s="2" t="s">
        <v>1910</v>
      </c>
      <c r="B1951" s="2" t="str">
        <f>IFERROR(__xludf.DUMMYFUNCTION("GOOGLETRANSLATE(A1951, ""yo"", ""en"")"),"On Monday, the third day of February 2025, things changed, Obasa came back to the Lagos legislature, the legislators who removed him earlier voted for him to be the head of the house.")</f>
        <v>On Monday, the third day of February 2025, things changed, Obasa came back to the Lagos legislature, the legislators who removed him earlier voted for him to be the head of the house.</v>
      </c>
    </row>
    <row r="1952" ht="15.75" customHeight="1">
      <c r="A1952" s="2" t="s">
        <v>1911</v>
      </c>
      <c r="B1952" s="2" t="str">
        <f>IFERROR(__xludf.DUMMYFUNCTION("GOOGLETRANSLATE(A1952, ""yo"", ""en"")"),"Onarebu Noheem Adams representing Eti-Osa region suggested Obasa to vote for him, and Onarebu Nureni Akinsanya from Mushin made the second suggestion.")</f>
        <v>Onarebu Noheem Adams representing Eti-Osa region suggested Obasa to vote for him, and Onarebu Nureni Akinsanya from Mushin made the second suggestion.</v>
      </c>
    </row>
    <row r="1953" ht="15.75" customHeight="1">
      <c r="A1953" s="2" t="s">
        <v>1912</v>
      </c>
      <c r="B1953" s="2" t="str">
        <f>IFERROR(__xludf.DUMMYFUNCTION("GOOGLETRANSLATE(A1953, ""yo"", ""en"")"),"After this, the rest of the councilors followed them, they asked that Mudashiru Obasa continue his work as the head of Lagos parliament.")</f>
        <v>After this, the rest of the councilors followed them, they asked that Mudashiru Obasa continue his work as the head of Lagos parliament.</v>
      </c>
    </row>
    <row r="1954" ht="15.75" customHeight="1">
      <c r="A1954" s="2" t="s">
        <v>1913</v>
      </c>
      <c r="B1954" s="2" t="str">
        <f>IFERROR(__xludf.DUMMYFUNCTION("GOOGLETRANSLATE(A1954, ""yo"", ""en"")"),"On Monday, Mojisola Meranda, who has been acting since Obasa was removed from office, was arrested.")</f>
        <v>On Monday, Mojisola Meranda, who has been acting since Obasa was removed from office, was arrested.</v>
      </c>
    </row>
    <row r="1955" ht="15.75" customHeight="1">
      <c r="A1955" s="2" t="s">
        <v>1914</v>
      </c>
      <c r="B1955" s="2" t="str">
        <f>IFERROR(__xludf.DUMMYFUNCTION("GOOGLETRANSLATE(A1955, ""yo"", ""en"")"),"Accusations related to murder, not counting the seat of the house, dominating his people and so on were made against him at that time.")</f>
        <v>Accusations related to murder, not counting the seat of the house, dominating his people and so on were made against him at that time.</v>
      </c>
    </row>
    <row r="1956" ht="15.75" customHeight="1">
      <c r="A1956" s="2" t="s">
        <v>1915</v>
      </c>
      <c r="B1956" s="2" t="str">
        <f>IFERROR(__xludf.DUMMYFUNCTION("GOOGLETRANSLATE(A1956, ""yo"", ""en"")"),"In a video on the internet, which Mudashiru Obasa did after he regained his position on the day of the Aje, he thanked the people who supported him during the crisis.")</f>
        <v>In a video on the internet, which Mudashiru Obasa did after he regained his position on the day of the Aje, he thanked the people who supported him during the crisis.</v>
      </c>
    </row>
    <row r="1957" ht="15.75" customHeight="1">
      <c r="A1957" s="2" t="s">
        <v>1916</v>
      </c>
      <c r="B1957" s="2" t="str">
        <f>IFERROR(__xludf.DUMMYFUNCTION("GOOGLETRANSLATE(A1957, ""yo"", ""en"")"),"After thanking the legislators for their love and support, Obasa also mentioned Chief Bisi Akande, former governor of Osun, and Aremmo Olusegun Osoba, former governor of Ogun.")</f>
        <v>After thanking the legislators for their love and support, Obasa also mentioned Chief Bisi Akande, former governor of Osun, and Aremmo Olusegun Osoba, former governor of Ogun.</v>
      </c>
    </row>
    <row r="1958" ht="15.75" customHeight="1">
      <c r="A1958" s="2" t="s">
        <v>1917</v>
      </c>
      <c r="B1958" s="2" t="str">
        <f>IFERROR(__xludf.DUMMYFUNCTION("GOOGLETRANSLATE(A1958, ""yo"", ""en"")"),"He is grateful for the contribution of the fathers, and my elders who solved this issue.")</f>
        <v>He is grateful for the contribution of the fathers, and my elders who solved this issue.</v>
      </c>
    </row>
    <row r="1959" ht="15.75" customHeight="1">
      <c r="A1959" s="2" t="s">
        <v>1918</v>
      </c>
      <c r="B1959" s="2" t="str">
        <f>IFERROR(__xludf.DUMMYFUNCTION("GOOGLETRANSLATE(A1959, ""yo"", ""en"")"),"After that, they moved the meeting chair forward without stopping.")</f>
        <v>After that, they moved the meeting chair forward without stopping.</v>
      </c>
    </row>
    <row r="1960" ht="15.75" customHeight="1">
      <c r="A1960" s="2" t="s">
        <v>1919</v>
      </c>
      <c r="B1960" s="2" t="str">
        <f>IFERROR(__xludf.DUMMYFUNCTION("GOOGLETRANSLATE(A1960, ""yo"", ""en"")"),"His appointment is taking place after Mojisola Meranda resigned as the head of the house on Wednesday, March 3rd, 2025.")</f>
        <v>His appointment is taking place after Mojisola Meranda resigned as the head of the house on Wednesday, March 3rd, 2025.</v>
      </c>
    </row>
    <row r="1961" ht="15.75" customHeight="1">
      <c r="A1961" s="2" t="s">
        <v>1920</v>
      </c>
      <c r="B1961" s="2" t="str">
        <f>IFERROR(__xludf.DUMMYFUNCTION("GOOGLETRANSLATE(A1961, ""yo"", ""en"")"),"After Meranda, the person representing Apapa I region resigned, the legislators re-elected him to the position of deputy head of the house.")</f>
        <v>After Meranda, the person representing Apapa I region resigned, the legislators re-elected him to the position of deputy head of the house.</v>
      </c>
    </row>
    <row r="1962" ht="15.75" customHeight="1">
      <c r="A1962" s="2" t="s">
        <v>1921</v>
      </c>
      <c r="B1962" s="2" t="str">
        <f>IFERROR(__xludf.DUMMYFUNCTION("GOOGLETRANSLATE(A1962, ""yo"", ""en"")"),"Obasa was sworn in as the head of the house six weeks after he was removed from office on December 1, 2025.")</f>
        <v>Obasa was sworn in as the head of the house six weeks after he was removed from office on December 1, 2025.</v>
      </c>
    </row>
    <row r="1963" ht="15.75" customHeight="1">
      <c r="A1963" s="2" t="s">
        <v>1922</v>
      </c>
      <c r="B1963" s="2" t="str">
        <f>IFERROR(__xludf.DUMMYFUNCTION("GOOGLETRANSLATE(A1963, ""yo"", ""en"")"),"The allegations against Obasa that led to his removal were that he was embezzling public money and mismanaging the house and criminal behavior.")</f>
        <v>The allegations against Obasa that led to his removal were that he was embezzling public money and mismanaging the house and criminal behavior.</v>
      </c>
    </row>
    <row r="1964" ht="15.75" customHeight="1">
      <c r="A1964" s="2" t="s">
        <v>1923</v>
      </c>
      <c r="B1964" s="2" t="str">
        <f>IFERROR(__xludf.DUMMYFUNCTION("GOOGLETRANSLATE(A1964, ""yo"", ""en"")"),"BBC News Yoruba news on your WhatsApp Join us at End of podcast promotion After Obasa was removed, many of the MPs chose Meranda as the head of the house, and they immediately swore him in.")</f>
        <v>BBC News Yoruba news on your WhatsApp Join us at End of podcast promotion After Obasa was removed, many of the MPs chose Meranda as the head of the house, and they immediately swore him in.</v>
      </c>
    </row>
    <row r="1965" ht="15.75" customHeight="1">
      <c r="A1965" s="2" t="s">
        <v>1924</v>
      </c>
      <c r="B1965" s="2" t="str">
        <f>IFERROR(__xludf.DUMMYFUNCTION("GOOGLETRANSLATE(A1965, ""yo"", ""en"")"),"In 2007, Obasa was first elected to the Lagos State House of Assembly, and he became the head of the house from 2015 before he was removed in January, 2025.")</f>
        <v>In 2007, Obasa was first elected to the Lagos State House of Assembly, and he became the head of the house from 2015 before he was removed in January, 2025.</v>
      </c>
    </row>
    <row r="1966" ht="15.75" customHeight="1">
      <c r="A1966" s="2" t="s">
        <v>1925</v>
      </c>
      <c r="B1966" s="2" t="str">
        <f>IFERROR(__xludf.DUMMYFUNCTION("GOOGLETRANSLATE(A1966, ""yo"", ""en"")"),"Many of the parliamentarians were quick to praise Meranda for his role during his entire tenure as the head of the house and bringing peace to the parliament.")</f>
        <v>Many of the parliamentarians were quick to praise Meranda for his role during his entire tenure as the head of the house and bringing peace to the parliament.</v>
      </c>
    </row>
    <row r="1967" ht="15.75" customHeight="1">
      <c r="A1967" s="2" t="s">
        <v>1926</v>
      </c>
      <c r="B1967" s="2" t="str">
        <f>IFERROR(__xludf.DUMMYFUNCTION("GOOGLETRANSLATE(A1967, ""yo"", ""en"")"),"He was also praised for following the law and policy of the All Progressives Congress, APC on the ongoing crisis in the parliament.")</f>
        <v>He was also praised for following the law and policy of the All Progressives Congress, APC on the ongoing crisis in the parliament.</v>
      </c>
    </row>
    <row r="1968" ht="15.75" customHeight="1">
      <c r="A1968" s="2" t="s">
        <v>1927</v>
      </c>
      <c r="B1968" s="2" t="str">
        <f>IFERROR(__xludf.DUMMYFUNCTION("GOOGLETRANSLATE(A1968, ""yo"", ""en"")"),"Meranda resigned after holding a meeting with some members of the All Progressives Congress in Lagos State who intervened in the ongoing crisis in Lagos parliament.")</f>
        <v>Meranda resigned after holding a meeting with some members of the All Progressives Congress in Lagos State who intervened in the ongoing crisis in Lagos parliament.</v>
      </c>
    </row>
    <row r="1969" ht="15.75" customHeight="1">
      <c r="A1969" s="2" t="s">
        <v>1928</v>
      </c>
      <c r="B1969" s="2" t="str">
        <f>IFERROR(__xludf.DUMMYFUNCTION("GOOGLETRANSLATE(A1969, ""yo"", ""en"")"),"Last week, Obasa said that the way he was removed from office was wrong because the legislators did not follow the rules and regulations to remove him.")</f>
        <v>Last week, Obasa said that the way he was removed from office was wrong because the legislators did not follow the rules and regulations to remove him.</v>
      </c>
    </row>
    <row r="1970" ht="15.75" customHeight="1">
      <c r="A1970" s="2" t="s">
        <v>1929</v>
      </c>
      <c r="B1970" s="2" t="str">
        <f>IFERROR(__xludf.DUMMYFUNCTION("GOOGLETRANSLATE(A1970, ""yo"", ""en"")"),"He said that he is still the head of parliament under the law and that he has returned home to continue his work.")</f>
        <v>He said that he is still the head of parliament under the law and that he has returned home to continue his work.</v>
      </c>
    </row>
    <row r="1971" ht="15.75" customHeight="1">
      <c r="A1971" s="2" t="s">
        <v>1930</v>
      </c>
      <c r="B1971" s="2" t="str">
        <f>IFERROR(__xludf.DUMMYFUNCTION("GOOGLETRANSLATE(A1971, ""yo"", ""en"")"),"The people of Ondo State voted to elect Governor Lucky Orimisan Aiyedatiwa on the 16th day of the eleventh month of 2024.")</f>
        <v>The people of Ondo State voted to elect Governor Lucky Orimisan Aiyedatiwa on the 16th day of the eleventh month of 2024.</v>
      </c>
    </row>
    <row r="1972" ht="15.75" customHeight="1">
      <c r="A1972" s="2" t="s">
        <v>1931</v>
      </c>
      <c r="B1972" s="2" t="str">
        <f>IFERROR(__xludf.DUMMYFUNCTION("GOOGLETRANSLATE(A1972, ""yo"", ""en"")"),"The swearing-in program took place at the Akure city stadium after they took the oath of office for Governor Aiyedatiwa fourteen months ago after the replacement of the Governor yesterday in Ondo state Oluwarotimi Akeredolu.")</f>
        <v>The swearing-in program took place at the Akure city stadium after they took the oath of office for Governor Aiyedatiwa fourteen months ago after the replacement of the Governor yesterday in Ondo state Oluwarotimi Akeredolu.</v>
      </c>
    </row>
    <row r="1973" ht="15.75" customHeight="1">
      <c r="A1973" s="2" t="s">
        <v>1932</v>
      </c>
      <c r="B1973" s="2" t="str">
        <f>IFERROR(__xludf.DUMMYFUNCTION("GOOGLETRANSLATE(A1973, ""yo"", ""en"")"),"While speaking to the citizens at the program, Aiyedatiwa said that in accordance with the festival and the power to buy it in accordance with the law, thirty-six crimes were forgiven.")</f>
        <v>While speaking to the citizens at the program, Aiyedatiwa said that in accordance with the festival and the power to buy it in accordance with the law, thirty-six crimes were forgiven.</v>
      </c>
    </row>
    <row r="1974" ht="15.75" customHeight="1">
      <c r="A1974" s="2" t="s">
        <v>1933</v>
      </c>
      <c r="B1974" s="2" t="str">
        <f>IFERROR(__xludf.DUMMYFUNCTION("GOOGLETRANSLATE(A1974, ""yo"", ""en"")"),"Aiyedatiwa said that the criminals have spent the time they should spend on prison in Ondo state and they will go home happily and peacefully once the judicial commissioner and the chief judge complete all the programs on the pardon.")</f>
        <v>Aiyedatiwa said that the criminals have spent the time they should spend on prison in Ondo state and they will go home happily and peacefully once the judicial commissioner and the chief judge complete all the programs on the pardon.</v>
      </c>
    </row>
    <row r="1975" ht="15.75" customHeight="1">
      <c r="A1975" s="2" t="s">
        <v>1934</v>
      </c>
      <c r="B1975" s="2" t="str">
        <f>IFERROR(__xludf.DUMMYFUNCTION("GOOGLETRANSLATE(A1975, ""yo"", ""en"")"),"The governor said the time has come to take Ondo State to a higher level.")</f>
        <v>The governor said the time has come to take Ondo State to a higher level.</v>
      </c>
    </row>
    <row r="1976" ht="15.75" customHeight="1">
      <c r="A1976" s="2" t="s">
        <v>1935</v>
      </c>
      <c r="B1976" s="2" t="str">
        <f>IFERROR(__xludf.DUMMYFUNCTION("GOOGLETRANSLATE(A1976, ""yo"", ""en"")"),"He commended the leaders of Ondo State after us for the hard work they have done with the promise that things will continue to bring great development to Ondo State.")</f>
        <v>He commended the leaders of Ondo State after us for the hard work they have done with the promise that things will continue to bring great development to Ondo State.</v>
      </c>
    </row>
    <row r="1977" ht="15.75" customHeight="1">
      <c r="A1977" s="2" t="s">
        <v>1936</v>
      </c>
      <c r="B1977" s="2" t="str">
        <f>IFERROR(__xludf.DUMMYFUNCTION("GOOGLETRANSLATE(A1977, ""yo"", ""en"")"),"Yes, he praised the Governor of this state, Brother Oluwarotimi Akeredolu, he described him as a brave person and a leader who has good goals for Ondo State and Nigeria as a whole.")</f>
        <v>Yes, he praised the Governor of this state, Brother Oluwarotimi Akeredolu, he described him as a brave person and a leader who has good goals for Ondo State and Nigeria as a whole.</v>
      </c>
    </row>
    <row r="1978" ht="15.75" customHeight="1">
      <c r="A1978" s="2" t="s">
        <v>1937</v>
      </c>
      <c r="B1978" s="2" t="str">
        <f>IFERROR(__xludf.DUMMYFUNCTION("GOOGLETRANSLATE(A1978, ""yo"", ""en"")"),"While talking to the people of Ondo State about his goal for the next four years, Governor Lucky Aiyedatiwa said that his administration will popularize the seven-pointed goal that he calls 'OUR EASE'.")</f>
        <v>While talking to the people of Ondo State about his goal for the next four years, Governor Lucky Aiyedatiwa said that his administration will popularize the seven-pointed goal that he calls 'OUR EASE'.</v>
      </c>
    </row>
    <row r="1979" ht="15.75" customHeight="1">
      <c r="A1979" s="2" t="s">
        <v>1938</v>
      </c>
      <c r="B1979" s="2" t="str">
        <f>IFERROR(__xludf.DUMMYFUNCTION("GOOGLETRANSLATE(A1979, ""yo"", ""en"")"),"Aiyedatiwa said that it will be popular for the long-term plan of the citizens of Papa, while the rest are few enough for the society.")</f>
        <v>Aiyedatiwa said that it will be popular for the long-term plan of the citizens of Papa, while the rest are few enough for the society.</v>
      </c>
    </row>
    <row r="1980" ht="15.75" customHeight="1">
      <c r="A1980" s="2" t="s">
        <v>1939</v>
      </c>
      <c r="B1980" s="2" t="str">
        <f>IFERROR(__xludf.DUMMYFUNCTION("GOOGLETRANSLATE(A1980, ""yo"", ""en"")"),"He said that in accordance with his seven-point goal, his administration will popularize the security system of the citizens.")</f>
        <v>He said that in accordance with his seven-point goal, his administration will popularize the security system of the citizens.</v>
      </c>
    </row>
    <row r="1981" ht="15.75" customHeight="1">
      <c r="A1981" s="2" t="s">
        <v>1940</v>
      </c>
      <c r="B1981" s="2" t="str">
        <f>IFERROR(__xludf.DUMMYFUNCTION("GOOGLETRANSLATE(A1981, ""yo"", ""en"")"),"Aiyedatiwa explained that they will launch a program in order to make the citizens calm down on the disabled people, and the disabled people will be able to keep up their work during the conflict.")</f>
        <v>Aiyedatiwa explained that they will launch a program in order to make the citizens calm down on the disabled people, and the disabled people will be able to keep up their work during the conflict.</v>
      </c>
    </row>
    <row r="1982" ht="15.75" customHeight="1">
      <c r="A1982" s="2" t="s">
        <v>1941</v>
      </c>
      <c r="B1982" s="2" t="str">
        <f>IFERROR(__xludf.DUMMYFUNCTION("GOOGLETRANSLATE(A1982, ""yo"", ""en"")"),"Aiyedatiwa also promised that his government will promote the plantation system, and they will support the things that are related to the water area in Ondo state, so that there can be many jobs for the youth by developing a spirit of entrepreneurship.")</f>
        <v>Aiyedatiwa also promised that his government will promote the plantation system, and they will support the things that are related to the water area in Ondo state, so that there can be many jobs for the youth by developing a spirit of entrepreneurship.</v>
      </c>
    </row>
    <row r="1983" ht="15.75" customHeight="1">
      <c r="A1983" s="2" t="s">
        <v>1942</v>
      </c>
      <c r="B1983" s="2" t="str">
        <f>IFERROR(__xludf.DUMMYFUNCTION("GOOGLETRANSLATE(A1983, ""yo"", ""en"")"),"He also explained that there will be a good health system for all citizens, and they will do education and training for all citizens.")</f>
        <v>He also explained that there will be a good health system for all citizens, and they will do education and training for all citizens.</v>
      </c>
    </row>
    <row r="1984" ht="15.75" customHeight="1">
      <c r="A1984" s="2" t="s">
        <v>1943</v>
      </c>
      <c r="B1984" s="2" t="str">
        <f>IFERROR(__xludf.DUMMYFUNCTION("GOOGLETRANSLATE(A1984, ""yo"", ""en"")"),"Aiyedatiwa says that everyone will benefit from proper health care.")</f>
        <v>Aiyedatiwa says that everyone will benefit from proper health care.</v>
      </c>
    </row>
    <row r="1985" ht="15.75" customHeight="1">
      <c r="A1985" s="2" t="s">
        <v>1944</v>
      </c>
      <c r="B1985" s="2" t="str">
        <f>IFERROR(__xludf.DUMMYFUNCTION("GOOGLETRANSLATE(A1985, ""yo"", ""en"")"),"The governor also promised that all the residents of Ondo State will benefit from the lightning that stopped him, and explained that his government will continue to build meters that are not higher than the body for the citizens.")</f>
        <v>The governor also promised that all the residents of Ondo State will benefit from the lightning that stopped him, and explained that his government will continue to build meters that are not higher than the body for the citizens.</v>
      </c>
    </row>
    <row r="1986" ht="15.75" customHeight="1">
      <c r="A1986" s="2" t="s">
        <v>1945</v>
      </c>
      <c r="B1986" s="2" t="str">
        <f>IFERROR(__xludf.DUMMYFUNCTION("GOOGLETRANSLATE(A1986, ""yo"", ""en"")"),"Governor Aiyedatiwa said that his government will also popularize the long-term program of the citizens, with the assurance that all ongoing special projects will be completed and those that will start soon within the four years that he spoke about today.")</f>
        <v>Governor Aiyedatiwa said that his government will also popularize the long-term program of the citizens, with the assurance that all ongoing special projects will be completed and those that will start soon within the four years that he spoke about today.</v>
      </c>
    </row>
    <row r="1987" ht="15.75" customHeight="1">
      <c r="A1987" s="2" t="s">
        <v>1946</v>
      </c>
      <c r="B1987" s="2" t="str">
        <f>IFERROR(__xludf.DUMMYFUNCTION("GOOGLETRANSLATE(A1987, ""yo"", ""en"")"),"The people who were present at the inauguration were, National Chairman of APC Abdullahi Ganduje, Lagos State Governor, Babajide Sanwoolu, his counterpart in Ekiti Abiodun Oyebanji, Minister of Home Affairs Olubunmi Tunji-Ojo among others.")</f>
        <v>The people who were present at the inauguration were, National Chairman of APC Abdullahi Ganduje, Lagos State Governor, Babajide Sanwoolu, his counterpart in Ekiti Abiodun Oyebanji, Minister of Home Affairs Olubunmi Tunji-Ojo among others.</v>
      </c>
    </row>
    <row r="1988" ht="15.75" customHeight="1">
      <c r="A1988" s="2" t="s">
        <v>1947</v>
      </c>
      <c r="B1988" s="2" t="str">
        <f>IFERROR(__xludf.DUMMYFUNCTION("GOOGLETRANSLATE(A1988, ""yo"", ""en"")"),"On the twenty-second day of February, 2025, the election for the position of the president of the local government and the cancellation took place in the month.")</f>
        <v>On the twenty-second day of February, 2025, the election for the position of the president of the local government and the cancellation took place in the month.</v>
      </c>
    </row>
    <row r="1989" ht="15.75" customHeight="1">
      <c r="A1989" s="2" t="s">
        <v>1948</v>
      </c>
      <c r="B1989" s="2" t="str">
        <f>IFERROR(__xludf.DUMMYFUNCTION("GOOGLETRANSLATE(A1989, ""yo"", ""en"")"),"It was not more than three hours that the entire election process was over.")</f>
        <v>It was not more than three hours that the entire election process was over.</v>
      </c>
    </row>
    <row r="1990" ht="15.75" customHeight="1">
      <c r="A1990" s="2" t="s">
        <v>1949</v>
      </c>
      <c r="B1990" s="2" t="str">
        <f>IFERROR(__xludf.DUMMYFUNCTION("GOOGLETRANSLATE(A1990, ""yo"", ""en"")"),"The reading of the results of the election took place in the garden of the Osun state government building in Oke-fia area of ​​Osogbo.")</f>
        <v>The reading of the results of the election took place in the garden of the Osun state government building in Oke-fia area of ​​Osogbo.</v>
      </c>
    </row>
    <row r="1991" ht="15.75" customHeight="1">
      <c r="A1991" s="2" t="s">
        <v>1950</v>
      </c>
      <c r="B1991" s="2" t="str">
        <f>IFERROR(__xludf.DUMMYFUNCTION("GOOGLETRANSLATE(A1991, ""yo"", ""en"")"),"This happened because the police closed the office of the electoral organization, and we do not know who caused this.")</f>
        <v>This happened because the police closed the office of the electoral organization, and we do not know who caused this.</v>
      </c>
    </row>
    <row r="1992" ht="15.75" customHeight="1">
      <c r="A1992" s="2" t="s">
        <v>1951</v>
      </c>
      <c r="B1992" s="2" t="str">
        <f>IFERROR(__xludf.DUMMYFUNCTION("GOOGLETRANSLATE(A1992, ""yo"", ""en"")"),"In the same way, the PDP political party was also the winner in the cancellation election.")</f>
        <v>In the same way, the PDP political party was also the winner in the cancellation election.</v>
      </c>
    </row>
    <row r="1993" ht="15.75" customHeight="1">
      <c r="A1993" s="2" t="s">
        <v>1952</v>
      </c>
      <c r="B1993" s="2" t="str">
        <f>IFERROR(__xludf.DUMMYFUNCTION("GOOGLETRANSLATE(A1993, ""yo"", ""en"")"),"And the total cancellation is 332.")</f>
        <v>And the total cancellation is 332.</v>
      </c>
    </row>
    <row r="1994" ht="15.75" customHeight="1">
      <c r="A1994" s="2" t="s">
        <v>1953</v>
      </c>
      <c r="B1994" s="2" t="str">
        <f>IFERROR(__xludf.DUMMYFUNCTION("GOOGLETRANSLATE(A1994, ""yo"", ""en"")"),"The chairman of the electoral organization, Hashim Abioye, urged them all not to forget all the promises they made during their election campaign for the citizens.")</f>
        <v>The chairman of the electoral organization, Hashim Abioye, urged them all not to forget all the promises they made during their election campaign for the citizens.</v>
      </c>
    </row>
    <row r="1995" ht="15.75" customHeight="1">
      <c r="A1995" s="2" t="s">
        <v>1954</v>
      </c>
      <c r="B1995" s="2" t="str">
        <f>IFERROR(__xludf.DUMMYFUNCTION("GOOGLETRANSLATE(A1995, ""yo"", ""en"")"),"BBC News Yoruba news on your WhatsApp Join us here End of podcast promotion The names of the winners as president, and their local governments: 1.")</f>
        <v>BBC News Yoruba news on your WhatsApp Join us here End of podcast promotion The names of the winners as president, and their local governments: 1.</v>
      </c>
    </row>
    <row r="1996" ht="15.75" customHeight="1">
      <c r="A1996" s="2" t="s">
        <v>1955</v>
      </c>
      <c r="B1996" s="2" t="str">
        <f>IFERROR(__xludf.DUMMYFUNCTION("GOOGLETRANSLATE(A1996, ""yo"", ""en"")"),"The section that is still relevant in the book is the section where Babangida ordered the shooting of his childhood friend, Captain Mamman Vatsa and nine of his guards in March 1986.")</f>
        <v>The section that is still relevant in the book is the section where Babangida ordered the shooting of his childhood friend, Captain Mamman Vatsa and nine of his guards in March 1986.</v>
      </c>
    </row>
    <row r="1997" ht="15.75" customHeight="1">
      <c r="A1997" s="2" t="s">
        <v>1956</v>
      </c>
      <c r="B1997" s="2" t="str">
        <f>IFERROR(__xludf.DUMMYFUNCTION("GOOGLETRANSLATE(A1997, ""yo"", ""en"")"),"The allegation of a conspiracy to take over the government from IBB who was on the air at the time was blamed on Vatsa and Babangida who were making friends from Minna when they were young.")</f>
        <v>The allegation of a conspiracy to take over the government from IBB who was on the air at the time was blamed on Vatsa and Babangida who were making friends from Minna when they were young.</v>
      </c>
    </row>
    <row r="1998" ht="15.75" customHeight="1">
      <c r="A1998" s="2" t="s">
        <v>1957</v>
      </c>
      <c r="B1998" s="2" t="str">
        <f>IFERROR(__xludf.DUMMYFUNCTION("GOOGLETRANSLATE(A1998, ""yo"", ""en"")"),"The allegation by IBB said that it was clear that Vatsa was involved there, and that he was the one who paid the other guards to find a way to conspire to take the government from him.")</f>
        <v>The allegation by IBB said that it was clear that Vatsa was involved there, and that he was the one who paid the other guards to find a way to conspire to take the government from him.</v>
      </c>
    </row>
    <row r="1999" ht="15.75" customHeight="1">
      <c r="A1999" s="2" t="s">
        <v>1958</v>
      </c>
      <c r="B1999" s="2" t="str">
        <f>IFERROR(__xludf.DUMMYFUNCTION("GOOGLETRANSLATE(A1999, ""yo"", ""en"")"),"I don't believe it, I think it's a rumor.")</f>
        <v>I don't believe it, I think it's a rumor.</v>
      </c>
    </row>
    <row r="2000" ht="15.75" customHeight="1">
      <c r="A2000" s="2" t="s">
        <v>1959</v>
      </c>
      <c r="B2000" s="2" t="str">
        <f>IFERROR(__xludf.DUMMYFUNCTION("GOOGLETRANSLATE(A2000, ""yo"", ""en"")"),"''But we started to arrest him as a soldier to know the truth, and I called Vatsa himself, I asked him, he told me that it was a lie.")</f>
        <v>''But we started to arrest him as a soldier to know the truth, and I called Vatsa himself, I asked him, he told me that it was a lie.</v>
      </c>
    </row>
    <row r="2001" ht="15.75" customHeight="1">
      <c r="A2001" s="2" t="s">
        <v>1960</v>
      </c>
      <c r="B2001" s="2" t="str">
        <f>IFERROR(__xludf.DUMMYFUNCTION("GOOGLETRANSLATE(A2001, ""yo"", ""en"")"),"""Vatsa's act is giving the guards who want to be involved in the work of the government.")</f>
        <v>"Vatsa's act is giving the guards who want to be involved in the work of the government.</v>
      </c>
    </row>
    <row r="2002" ht="15.75" customHeight="1">
      <c r="A2002" s="2" t="s">
        <v>1961</v>
      </c>
      <c r="B2002" s="2" t="str">
        <f>IFERROR(__xludf.DUMMYFUNCTION("GOOGLETRANSLATE(A2002, ""yo"", ""en"")"),"He gave Lt-Col. Musa Bitiyong one thousand and fifty naira (N50,000). Bitiyong admitted that he took money from him, but Vatsa said that he paid him for a farm work he was about to do.")</f>
        <v>He gave Lt-Col. Musa Bitiyong one thousand and fifty naira (N50,000). Bitiyong admitted that he took money from him, but Vatsa said that he paid him for a farm work he was about to do.</v>
      </c>
    </row>
    <row r="2003" ht="15.75" customHeight="1">
      <c r="A2003" s="2" t="s">
        <v>1962</v>
      </c>
      <c r="B2003" s="2" t="str">
        <f>IFERROR(__xludf.DUMMYFUNCTION("GOOGLETRANSLATE(A2003, ""yo"", ""en"")"),"""One of the things they wanted to do at that time was to throw a bomb on the Lagos bridge, and attack the important things belonging to the military.""")</f>
        <v>"One of the things they wanted to do at that time was to throw a bomb on the Lagos bridge, and attack the important things belonging to the military."</v>
      </c>
    </row>
    <row r="2004" ht="15.75" customHeight="1">
      <c r="A2004" s="2" t="s">
        <v>1963</v>
      </c>
      <c r="B2004" s="2" t="str">
        <f>IFERROR(__xludf.DUMMYFUNCTION("GOOGLETRANSLATE(A2004, ""yo"", ""en"")"),"''It hurts me like flesh, and it makes me feel weak.")</f>
        <v>''It hurts me like flesh, and it makes me feel weak.</v>
      </c>
    </row>
    <row r="2005" ht="15.75" customHeight="1">
      <c r="A2005" s="2" t="s">
        <v>1964</v>
      </c>
      <c r="B2005" s="2" t="str">
        <f>IFERROR(__xludf.DUMMYFUNCTION("GOOGLETRANSLATE(A2005, ""yo"", ""en"")"),"But it became necessary for them to die according to the law of military service.")</f>
        <v>But it became necessary for them to die according to the law of military service.</v>
      </c>
    </row>
    <row r="2006" ht="15.75" customHeight="1">
      <c r="A2006" s="2" t="s">
        <v>1965</v>
      </c>
      <c r="B2006" s="2" t="str">
        <f>IFERROR(__xludf.DUMMYFUNCTION("GOOGLETRANSLATE(A2006, ""yo"", ""en"")"),"In order to lose my childhood friend or to make the whole of Nigeria miserable, I must choose one of the two'' said IBB.")</f>
        <v>In order to lose my childhood friend or to make the whole of Nigeria miserable, I must choose one of the two'' said IBB.</v>
      </c>
    </row>
    <row r="2007" ht="15.75" customHeight="1">
      <c r="A2007" s="2" t="s">
        <v>1966</v>
      </c>
      <c r="B2007" s="2" t="str">
        <f>IFERROR(__xludf.DUMMYFUNCTION("GOOGLETRANSLATE(A2007, ""yo"", ""en"")"),"BBC News Yoruba news on your WhatsApp Join us there End of podcast promotion One of the shares of the late Captain Vatsa whose name is Jonathan, has expressed his anger to Babangida about your statement.")</f>
        <v>BBC News Yoruba news on your WhatsApp Join us there End of podcast promotion One of the shares of the late Captain Vatsa whose name is Jonathan, has expressed his anger to Babangida about your statement.</v>
      </c>
    </row>
    <row r="2008" ht="15.75" customHeight="1">
      <c r="A2008" s="2" t="s">
        <v>1967</v>
      </c>
      <c r="B2008" s="2" t="str">
        <f>IFERROR(__xludf.DUMMYFUNCTION("GOOGLETRANSLATE(A2008, ""yo"", ""en"")"),"Jonathan said that the way they killed his brother was not appropriate.")</f>
        <v>Jonathan said that the way they killed his brother was not appropriate.</v>
      </c>
    </row>
    <row r="2009" ht="15.75" customHeight="1">
      <c r="A2009" s="2" t="s">
        <v>1968</v>
      </c>
      <c r="B2009" s="2" t="str">
        <f>IFERROR(__xludf.DUMMYFUNCTION("GOOGLETRANSLATE(A2009, ""yo"", ""en"")"),"""What I have been saying for a long time is that they killed him unjustly, he should not have died at all.")</f>
        <v>"What I have been saying for a long time is that they killed him unjustly, he should not have died at all.</v>
      </c>
    </row>
    <row r="2010" ht="15.75" customHeight="1">
      <c r="A2010" s="2" t="s">
        <v>1969</v>
      </c>
      <c r="B2010" s="2" t="str">
        <f>IFERROR(__xludf.DUMMYFUNCTION("GOOGLETRANSLATE(A2010, ""yo"", ""en"")"),"There was no real reason for them to kill him.")</f>
        <v>There was no real reason for them to kill him.</v>
      </c>
    </row>
    <row r="2011" ht="15.75" customHeight="1">
      <c r="A2011" s="2" t="s">
        <v>1970</v>
      </c>
      <c r="B2011" s="2" t="str">
        <f>IFERROR(__xludf.DUMMYFUNCTION("GOOGLETRANSLATE(A2011, ""yo"", ""en"")"),"""Not even after the military court sentenced him to death, he still had the right to call the case of ``Don't press me.''")</f>
        <v>"Not even after the military court sentenced him to death, he still had the right to call the case of ``Don't press me.''</v>
      </c>
    </row>
    <row r="2012" ht="15.75" customHeight="1">
      <c r="A2012" s="2" t="s">
        <v>1971</v>
      </c>
      <c r="B2012" s="2" t="str">
        <f>IFERROR(__xludf.DUMMYFUNCTION("GOOGLETRANSLATE(A2012, ""yo"", ""en"")"),"''Why are you bothering them to kill an innocent?'' Jonathan said that it was not because of Nigeria that they killed Vatsa, they said that they saw that he could be reckless so they killed him.")</f>
        <v>''Why are you bothering them to kill an innocent?'' Jonathan said that it was not because of Nigeria that they killed Vatsa, they said that they saw that he could be reckless so they killed him.</v>
      </c>
    </row>
    <row r="2013" ht="15.75" customHeight="1">
      <c r="A2013" s="2" t="s">
        <v>1972</v>
      </c>
      <c r="B2013" s="2" t="str">
        <f>IFERROR(__xludf.DUMMYFUNCTION("GOOGLETRANSLATE(A2013, ""yo"", ""en"")"),"He said they could not do what they wanted if Vatsa was alive so they killed him.")</f>
        <v>He said they could not do what they wanted if Vatsa was alive so they killed him.</v>
      </c>
    </row>
    <row r="2014" ht="15.75" customHeight="1">
      <c r="A2014" s="2" t="s">
        <v>1973</v>
      </c>
      <c r="B2014" s="2" t="str">
        <f>IFERROR(__xludf.DUMMYFUNCTION("GOOGLETRANSLATE(A2014, ""yo"", ""en"")"),"""Babangida must apologize profusely to Nigerians for all the wrongs he has done to them.")</f>
        <v>"Babangida must apologize profusely to Nigerians for all the wrongs he has done to them.</v>
      </c>
    </row>
    <row r="2015" ht="15.75" customHeight="1">
      <c r="A2015" s="2" t="s">
        <v>1974</v>
      </c>
      <c r="B2015" s="2" t="str">
        <f>IFERROR(__xludf.DUMMYFUNCTION("GOOGLETRANSLATE(A2015, ""yo"", ""en"")"),"He only refused an apology, he must make amends, and not return all that he has taken from Nigerians as slaves'', said the late Captain Vatsa.")</f>
        <v>He only refused an apology, he must make amends, and not return all that he has taken from Nigerians as slaves'', said the late Captain Vatsa.</v>
      </c>
    </row>
    <row r="2016" ht="15.75" customHeight="1">
      <c r="A2016" s="2" t="s">
        <v>1975</v>
      </c>
      <c r="B2016" s="2" t="str">
        <f>IFERROR(__xludf.DUMMYFUNCTION("GOOGLETRANSLATE(A2016, ""yo"", ""en"")"),"Babangida did not properly cancel the June 12, 1993 vote, he could not have done it for Nigeria.")</f>
        <v>Babangida did not properly cancel the June 12, 1993 vote, he could not have done it for Nigeria.</v>
      </c>
    </row>
    <row r="2017" ht="15.75" customHeight="1">
      <c r="A2017" s="2" t="s">
        <v>1976</v>
      </c>
      <c r="B2017" s="2" t="str">
        <f>IFERROR(__xludf.DUMMYFUNCTION("GOOGLETRANSLATE(A2017, ""yo"", ""en"")"),"Continuing the statement that the late MKO Abiola went to the polls, Babangida said that under his leadership, all the mistakes of the thirty-two years had occurred.")</f>
        <v>Continuing the statement that the late MKO Abiola went to the polls, Babangida said that under his leadership, all the mistakes of the thirty-two years had occurred.</v>
      </c>
    </row>
    <row r="2018" ht="15.75" customHeight="1">
      <c r="A2018" s="2" t="s">
        <v>1977</v>
      </c>
      <c r="B2018" s="2" t="str">
        <f>IFERROR(__xludf.DUMMYFUNCTION("GOOGLETRANSLATE(A2018, ""yo"", ""en"")"),"The former president explained that it would not be good for the whole of Nigeria if he canceled the peace vote.")</f>
        <v>The former president explained that it would not be good for the whole of Nigeria if he canceled the peace vote.</v>
      </c>
    </row>
    <row r="2019" ht="15.75" customHeight="1">
      <c r="A2019" s="2" t="s">
        <v>1978</v>
      </c>
      <c r="B2019" s="2" t="str">
        <f>IFERROR(__xludf.DUMMYFUNCTION("GOOGLETRANSLATE(A2019, ""yo"", ""en"")"),"IBB as he is also called, said that he regrets that he canceled Abiola's vote, because what happened brought the Democratic government back in this country.")</f>
        <v>IBB as he is also called, said that he regrets that he canceled Abiola's vote, because what happened brought the Democratic government back in this country.</v>
      </c>
    </row>
    <row r="2020" ht="15.75" customHeight="1">
      <c r="A2020" s="2" t="s">
        <v>1979</v>
      </c>
      <c r="B2020" s="2" t="str">
        <f>IFERROR(__xludf.DUMMYFUNCTION("GOOGLETRANSLATE(A2020, ""yo"", ""en"")"),"""Our journey to the Democratic government is delayed, and I am very sad.")</f>
        <v>"Our journey to the Democratic government is delayed, and I am very sad.</v>
      </c>
    </row>
    <row r="2021" ht="15.75" customHeight="1">
      <c r="A2021" s="2" t="s">
        <v>1980</v>
      </c>
      <c r="B2021" s="2" t="str">
        <f>IFERROR(__xludf.DUMMYFUNCTION("GOOGLETRANSLATE(A2021, ""yo"", ""en"")"),"But Nigeria overcame it, democracy kept us alive until now, which indicates our stability and shows that we are ready to continue.")</f>
        <v>But Nigeria overcame it, democracy kept us alive until now, which indicates our stability and shows that we are ready to continue.</v>
      </c>
    </row>
    <row r="2022" ht="15.75" customHeight="1">
      <c r="A2022" s="2" t="s">
        <v>1981</v>
      </c>
      <c r="B2022" s="2" t="str">
        <f>IFERROR(__xludf.DUMMYFUNCTION("GOOGLETRANSLATE(A2022, ""yo"", ""en"")"),""" Babangida added his statement.")</f>
        <v>" Babangida added his statement.</v>
      </c>
    </row>
    <row r="2023" ht="15.75" customHeight="1">
      <c r="A2023" s="2" t="s">
        <v>1982</v>
      </c>
      <c r="B2023" s="2" t="str">
        <f>IFERROR(__xludf.DUMMYFUNCTION("GOOGLETRANSLATE(A2023, ""yo"", ""en"")"),"General Babangida announced this in a book he wrote about himself which was launched on Thursday the 27th of February this year in Abuja.")</f>
        <v>General Babangida announced this in a book he wrote about himself which was launched on Thursday the 27th of February this year in Abuja.</v>
      </c>
    </row>
    <row r="2024" ht="15.75" customHeight="1">
      <c r="A2024" s="2" t="s">
        <v>1983</v>
      </c>
      <c r="B2024" s="2" t="str">
        <f>IFERROR(__xludf.DUMMYFUNCTION("GOOGLETRANSLATE(A2024, ""yo"", ""en"")"),"Abiola ran for president under the banner of the Social Democratic Party (SDP) that year.")</f>
        <v>Abiola ran for president under the banner of the Social Democratic Party (SDP) that year.</v>
      </c>
    </row>
    <row r="2025" ht="15.75" customHeight="1">
      <c r="A2025" s="2" t="s">
        <v>1984</v>
      </c>
      <c r="B2025" s="2" t="str">
        <f>IFERROR(__xludf.DUMMYFUNCTION("GOOGLETRANSLATE(A1875, ""yo"", ""en"")"),"While speaking on his X post after the announcement of the President, Atiku Abubakar who himself has criticized the situation many times said that what Tinubu did was not good enough.")</f>
        <v>While speaking on his X post after the announcement of the President, Atiku Abubakar who himself has criticized the situation many times said that what Tinubu did was not good enough.</v>
      </c>
    </row>
    <row r="2026" ht="15.75" customHeight="1">
      <c r="A2026" s="2" t="s">
        <v>1985</v>
      </c>
      <c r="B2026" s="2" t="str">
        <f>IFERROR(__xludf.DUMMYFUNCTION("GOOGLETRANSLATE(A2026, ""yo"", ""en"")"),"""Moshood Abiola became the winner in the 1993 presidential election after getting eight million votes and defeating Tofa of the NRC who got five million votes,"" Babangida said.")</f>
        <v>"Moshood Abiola became the winner in the 1993 presidential election after getting eight million votes and defeating Tofa of the NRC who got five million votes," Babangida said.</v>
      </c>
    </row>
    <row r="2027" ht="15.75" customHeight="1">
      <c r="A2027" s="2" t="s">
        <v>1986</v>
      </c>
      <c r="B2027" s="2" t="str">
        <f>IFERROR(__xludf.DUMMYFUNCTION("GOOGLETRANSLATE(A2027, ""yo"", ""en"")"),"In his speech, Babangida is the one who has been planning to cancel the results of the vote for a long time.")</f>
        <v>In his speech, Babangida is the one who has been planning to cancel the results of the vote for a long time.</v>
      </c>
    </row>
    <row r="2028" ht="15.75" customHeight="1">
      <c r="A2028" s="2" t="s">
        <v>1987</v>
      </c>
      <c r="B2028" s="2" t="str">
        <f>IFERROR(__xludf.DUMMYFUNCTION("GOOGLETRANSLATE(A2028, ""yo"", ""en"")"),"Babangida said, ""I am the one to blame for everything that happened in Nigeria at that time when I was the president of Nigeria."" On the 12th of June 1993, the presidential candidate under the banner of the SDP political party, Abiola and Tofa who is a "&amp;"candidate of the NRC party competed in the Nigerian presidential election.")</f>
        <v>Babangida said, "I am the one to blame for everything that happened in Nigeria at that time when I was the president of Nigeria." On the 12th of June 1993, the presidential candidate under the banner of the SDP political party, Abiola and Tofa who is a candidate of the NRC party competed in the Nigerian presidential election.</v>
      </c>
    </row>
    <row r="2029" ht="15.75" customHeight="1">
      <c r="A2029" s="2" t="s">
        <v>1988</v>
      </c>
      <c r="B2029" s="2" t="str">
        <f>IFERROR(__xludf.DUMMYFUNCTION("GOOGLETRANSLATE(A2029, ""yo"", ""en"")"),"Baba Gana Kingibe contested with Abiola as his deputy, while Sylvester Ugoh contested as Tofa's deputy.")</f>
        <v>Baba Gana Kingibe contested with Abiola as his deputy, while Sylvester Ugoh contested as Tofa's deputy.</v>
      </c>
    </row>
    <row r="2030" ht="15.75" customHeight="1">
      <c r="A2030" s="2" t="s">
        <v>1989</v>
      </c>
      <c r="B2030" s="2" t="str">
        <f>IFERROR(__xludf.DUMMYFUNCTION("GOOGLETRANSLATE(A2030, ""yo"", ""en"")"),"Even though, the observers described the 1993 presidential election as the richest election in history, General Babangida boycotted the election, there were ashes there.")</f>
        <v>Even though, the observers described the 1993 presidential election as the richest election in history, General Babangida boycotted the election, there were ashes there.</v>
      </c>
    </row>
    <row r="2031" ht="15.75" customHeight="1">
      <c r="A2031" s="2" t="s">
        <v>1990</v>
      </c>
      <c r="B2031" s="2" t="str">
        <f>IFERROR(__xludf.DUMMYFUNCTION("GOOGLETRANSLATE(A2031, ""yo"", ""en"")"),"After that, Ernest Shonekan became the president of Nigeria.")</f>
        <v>After that, Ernest Shonekan became the president of Nigeria.</v>
      </c>
    </row>
    <row r="2032" ht="15.75" customHeight="1">
      <c r="A2032" s="2" t="s">
        <v>1991</v>
      </c>
      <c r="B2032" s="2" t="str">
        <f>IFERROR(__xludf.DUMMYFUNCTION("GOOGLETRANSLATE(A2032, ""yo"", ""en"")"),"On the eleventh day of June 1994, Abiola announced himself as the president of Nigeria in Lagos.")</f>
        <v>On the eleventh day of June 1994, Abiola announced himself as the president of Nigeria in Lagos.</v>
      </c>
    </row>
    <row r="2033" ht="15.75" customHeight="1">
      <c r="A2033" s="2" t="s">
        <v>1992</v>
      </c>
      <c r="B2033" s="2" t="str">
        <f>IFERROR(__xludf.DUMMYFUNCTION("GOOGLETRANSLATE(A2033, ""yo"", ""en"")"),"This made Sani Abacha's military government accuse him of treason and he was arrested on the twenty-third day of June 1994.")</f>
        <v>This made Sani Abacha's military government accuse him of treason and he was arrested on the twenty-third day of June 1994.</v>
      </c>
    </row>
    <row r="2034" ht="15.75" customHeight="1">
      <c r="A2034" s="2" t="s">
        <v>1993</v>
      </c>
      <c r="B2034" s="2" t="str">
        <f>IFERROR(__xludf.DUMMYFUNCTION("GOOGLETRANSLATE(A2034, ""yo"", ""en"")"),"Abiola was imprisoned for four years, what we heard was that they did not allow him to study anything other than the Bible and the Quran.")</f>
        <v>Abiola was imprisoned for four years, what we heard was that they did not allow him to study anything other than the Bible and the Quran.</v>
      </c>
    </row>
    <row r="2035" ht="15.75" customHeight="1">
      <c r="A2035" s="2" t="s">
        <v>1994</v>
      </c>
      <c r="B2035" s="2" t="str">
        <f>IFERROR(__xludf.DUMMYFUNCTION("GOOGLETRANSLATE(A2035, ""yo"", ""en"")"),"Abiola died on the 7th of July 1998 the day he was supposed to be released from prison.")</f>
        <v>Abiola died on the 7th of July 1998 the day he was supposed to be released from prison.</v>
      </c>
    </row>
    <row r="2036" ht="15.75" customHeight="1">
      <c r="A2036" s="2" t="s">
        <v>1995</v>
      </c>
      <c r="B2036" s="2" t="str">
        <f>IFERROR(__xludf.DUMMYFUNCTION("GOOGLETRANSLATE(A2036, ""yo"", ""en"")"),"Controversy over the judgment of the Supreme Court on the matter of local government has arisen after the death of two PDP political members in Boripe local government in Iragbiji, while the same APC chairman died in Ayedire local government today the 17t"&amp;"h day of business in Osun state.")</f>
        <v>Controversy over the judgment of the Supreme Court on the matter of local government has arisen after the death of two PDP political members in Boripe local government in Iragbiji, while the same APC chairman died in Ayedire local government today the 17th day of business in Osun state.</v>
      </c>
    </row>
    <row r="2037" ht="15.75" customHeight="1">
      <c r="A2037" s="2" t="s">
        <v>1996</v>
      </c>
      <c r="B2037" s="2" t="str">
        <f>IFERROR(__xludf.DUMMYFUNCTION("GOOGLETRANSLATE(A2037, ""yo"", ""en"")"),"On Tuesday morning, the APC local government chairpersons who were justified by the Supreme Court took over the local government offices, which led to PDP members opposing them and the crisis spread across Osun state.")</f>
        <v>On Tuesday morning, the APC local government chairpersons who were justified by the Supreme Court took over the local government offices, which led to PDP members opposing them and the crisis spread across Osun state.</v>
      </c>
    </row>
    <row r="2038" ht="15.75" customHeight="1">
      <c r="A2038" s="2" t="s">
        <v>1997</v>
      </c>
      <c r="B2038" s="2" t="str">
        <f>IFERROR(__xludf.DUMMYFUNCTION("GOOGLETRANSLATE(A2038, ""yo"", ""en"")"),"What we saw when we visited Boripe local government in Iragbiji is that the APC political parties took over the entire area and expelled the PDP political parties from the local government area.")</f>
        <v>What we saw when we visited Boripe local government in Iragbiji is that the APC political parties took over the entire area and expelled the PDP political parties from the local government area.</v>
      </c>
    </row>
    <row r="2039" ht="15.75" customHeight="1">
      <c r="A2039" s="2" t="s">
        <v>1998</v>
      </c>
      <c r="B2039" s="2" t="str">
        <f>IFERROR(__xludf.DUMMYFUNCTION("GOOGLETRANSLATE(A2039, ""yo"", ""en"")"),"One of the local government presidents who were acquitted by the Supreme Court of Appeal, Adeyemi Fatai, told BBC Yoruba that they have regained their rights as the Supreme Court acquitted them.")</f>
        <v>One of the local government presidents who were acquitted by the Supreme Court of Appeal, Adeyemi Fatai, told BBC Yoruba that they have regained their rights as the Supreme Court acquitted them.</v>
      </c>
    </row>
    <row r="2040" ht="15.75" customHeight="1">
      <c r="A2040" s="2" t="s">
        <v>1999</v>
      </c>
      <c r="B2040" s="2" t="str">
        <f>IFERROR(__xludf.DUMMYFUNCTION("GOOGLETRANSLATE(A2040, ""yo"", ""en"")"),"He said the local government election they held in 2022 brought them all in, but when Governor Ademola Adeleke took over the government, he stopped them.")</f>
        <v>He said the local government election they held in 2022 brought them all in, but when Governor Ademola Adeleke took over the government, he stopped them.</v>
      </c>
    </row>
    <row r="2041" ht="15.75" customHeight="1">
      <c r="A2041" s="2" t="s">
        <v>2000</v>
      </c>
      <c r="B2041" s="2" t="str">
        <f>IFERROR(__xludf.DUMMYFUNCTION("GOOGLETRANSLATE(A2041, ""yo"", ""en"")"),"In the local government of Ifelodun, education is not at all present, as the jaduku of the PDP political parties are using to prevent deadly fighting, and they do not allow APC political members to enter the area, similarly they do not allow journalists t"&amp;"o take any pictures there at all.")</f>
        <v>In the local government of Ifelodun, education is not at all present, as the jaduku of the PDP political parties are using to prevent deadly fighting, and they do not allow APC political members to enter the area, similarly they do not allow journalists to take any pictures there at all.</v>
      </c>
    </row>
    <row r="2042" ht="15.75" customHeight="1">
      <c r="A2042" s="2" t="s">
        <v>2001</v>
      </c>
      <c r="B2042" s="2" t="str">
        <f>IFERROR(__xludf.DUMMYFUNCTION("GOOGLETRANSLATE(A2042, ""yo"", ""en"")"),"Ayo Toyosi who is the Chairman of Ayedaade said that the 2022 election brought them in, but when another government came to the High Court he said that they are not entitled to the office of Local Government Chairman and they were shown home with their le"&amp;"ft hand.")</f>
        <v>Ayo Toyosi who is the Chairman of Ayedaade said that the 2022 election brought them in, but when another government came to the High Court he said that they are not entitled to the office of Local Government Chairman and they were shown home with their left hand.</v>
      </c>
    </row>
    <row r="2043" ht="15.75" customHeight="1">
      <c r="A2043" s="2" t="s">
        <v>2002</v>
      </c>
      <c r="B2043" s="2" t="str">
        <f>IFERROR(__xludf.DUMMYFUNCTION("GOOGLETRANSLATE(A2043, ""yo"", ""en"")"),"Mr. Toyosi is the one who made the people go to the Supreme Court, and the Supreme Court made him not return to the office.")</f>
        <v>Mr. Toyosi is the one who made the people go to the Supreme Court, and the Supreme Court made him not return to the office.</v>
      </c>
    </row>
    <row r="2044" ht="15.75" customHeight="1">
      <c r="A2044" s="2" t="s">
        <v>2003</v>
      </c>
      <c r="B2044" s="2" t="str">
        <f>IFERROR(__xludf.DUMMYFUNCTION("GOOGLETRANSLATE(A2044, ""yo"", ""en"")"),"He urged all Ayedaade local government officials not to return to their offices.")</f>
        <v>He urged all Ayedaade local government officials not to return to their offices.</v>
      </c>
    </row>
    <row r="2045" ht="15.75" customHeight="1">
      <c r="A2045" s="2" t="s">
        <v>2004</v>
      </c>
      <c r="B2045" s="2" t="str">
        <f>IFERROR(__xludf.DUMMYFUNCTION("GOOGLETRANSLATE(A2045, ""yo"", ""en"")"),"It is said that the one who rejects the ear of the stomach will lose his job.")</f>
        <v>It is said that the one who rejects the ear of the stomach will lose his job.</v>
      </c>
    </row>
    <row r="2046" ht="15.75" customHeight="1">
      <c r="A2046" s="2" t="s">
        <v>2005</v>
      </c>
      <c r="B2046" s="2" t="str">
        <f>IFERROR(__xludf.DUMMYFUNCTION("GOOGLETRANSLATE(A2046, ""yo"", ""en"")"),"Of the 30 local governments in Osun state and I heard that, the APC political parties have now taken over the 19th government.")</f>
        <v>Of the 30 local governments in Osun state and I heard that, the APC political parties have now taken over the 19th government.</v>
      </c>
    </row>
    <row r="2047" ht="15.75" customHeight="1">
      <c r="A2047" s="2" t="s">
        <v>2006</v>
      </c>
      <c r="B2047" s="2" t="str">
        <f>IFERROR(__xludf.DUMMYFUNCTION("GOOGLETRANSLATE(A2047, ""yo"", ""en"")"),"Yes, Hashim Abioye who is the Chairman for the local government election system in Osun has said that the opposition APC members are doing nothing.")</f>
        <v>Yes, Hashim Abioye who is the Chairman for the local government election system in Osun has said that the opposition APC members are doing nothing.</v>
      </c>
    </row>
    <row r="2048" ht="15.75" customHeight="1">
      <c r="A2048" s="2" t="s">
        <v>2007</v>
      </c>
      <c r="B2048" s="2" t="str">
        <f>IFERROR(__xludf.DUMMYFUNCTION("GOOGLETRANSLATE(A2048, ""yo"", ""en"")"),"He said the election of local government chairpersons and councilors will be held on the 22nd of February.")</f>
        <v>He said the election of local government chairpersons and councilors will be held on the 22nd of February.</v>
      </c>
    </row>
    <row r="2049" ht="15.75" customHeight="1">
      <c r="A2049" s="2" t="s">
        <v>2008</v>
      </c>
      <c r="B2049" s="2" t="str">
        <f>IFERROR(__xludf.DUMMYFUNCTION("GOOGLETRANSLATE(A2049, ""yo"", ""en"")"),"Hashim also continued saying that 18 political parties will not be killed in the next local government election on the 22nd of February.")</f>
        <v>Hashim also continued saying that 18 political parties will not be killed in the next local government election on the 22nd of February.</v>
      </c>
    </row>
    <row r="2050" ht="15.75" customHeight="1">
      <c r="A2050" s="2" t="s">
        <v>2009</v>
      </c>
      <c r="B2050" s="2" t="str">
        <f>IFERROR(__xludf.DUMMYFUNCTION("GOOGLETRANSLATE(A2050, ""yo"", ""en"")"),"Mr. Hashim is the one who has prepared for the election process and all the equipment of the election process is now there.")</f>
        <v>Mr. Hashim is the one who has prepared for the election process and all the equipment of the election process is now there.</v>
      </c>
    </row>
    <row r="2051" ht="15.75" customHeight="1">
      <c r="A2051" s="2" t="s">
        <v>2010</v>
      </c>
      <c r="B2051" s="2" t="str">
        <f>IFERROR(__xludf.DUMMYFUNCTION("GOOGLETRANSLATE(A2051, ""yo"", ""en"")"),"He urged all the law enforcement officers not to be in the presence of cancer before and on election day.")</f>
        <v>He urged all the law enforcement officers not to be in the presence of cancer before and on election day.</v>
      </c>
    </row>
    <row r="2052" ht="15.75" customHeight="1">
      <c r="A2052" s="2" t="s">
        <v>2011</v>
      </c>
      <c r="B2052" s="2" t="str">
        <f>IFERROR(__xludf.DUMMYFUNCTION("GOOGLETRANSLATE(A2052, ""yo"", ""en"")"),"Mr. Hashim assured all the residents of Osun state that they should not go out because they do not know why they are afraid at all.")</f>
        <v>Mr. Hashim assured all the residents of Osun state that they should not go out because they do not know why they are afraid at all.</v>
      </c>
    </row>
    <row r="2053" ht="15.75" customHeight="1">
      <c r="A2053" s="2" t="s">
        <v>2012</v>
      </c>
      <c r="B2053" s="2" t="str">
        <f>IFERROR(__xludf.DUMMYFUNCTION("GOOGLETRANSLATE(A2053, ""yo"", ""en"")"),"Fear has spread in Osun state after gunshots are heard in some local governments due to the crisis between the ruling PDP and the opposition APC over the judgment of the Supreme Court.")</f>
        <v>Fear has spread in Osun state after gunshots are heard in some local governments due to the crisis between the ruling PDP and the opposition APC over the judgment of the Supreme Court.</v>
      </c>
    </row>
    <row r="2054" ht="15.75" customHeight="1">
      <c r="A2054" s="2" t="s">
        <v>2013</v>
      </c>
      <c r="B2054" s="2" t="str">
        <f>IFERROR(__xludf.DUMMYFUNCTION("GOOGLETRANSLATE(A2054, ""yo"", ""en"")"),"Some reports on the internet show how residents of our local government area in Osun state are running for their lives and shopkeepers in the area are closing their shops.")</f>
        <v>Some reports on the internet show how residents of our local government area in Osun state are running for their lives and shopkeepers in the area are closing their shops.</v>
      </c>
    </row>
    <row r="2055" ht="15.75" customHeight="1">
      <c r="A2055" s="2" t="s">
        <v>2014</v>
      </c>
      <c r="B2055" s="2" t="str">
        <f>IFERROR(__xludf.DUMMYFUNCTION("GOOGLETRANSLATE(A2055, ""yo"", ""en"")"),"Among the local governments, some janduku tried to invade Boripe, Iwo, Ifelodun, Odo-Otin, Osogbo and Olorunda local governments.")</f>
        <v>Among the local governments, some janduku tried to invade Boripe, Iwo, Ifelodun, Odo-Otin, Osogbo and Olorunda local governments.</v>
      </c>
    </row>
    <row r="2056" ht="15.75" customHeight="1">
      <c r="A2056" s="2" t="s">
        <v>2015</v>
      </c>
      <c r="B2056" s="2" t="str">
        <f>IFERROR(__xludf.DUMMYFUNCTION("GOOGLETRANSLATE(A2056, ""yo"", ""en"")"),"In a video on the Internet, some people attacked the local government of Ifelodun, Ikirun and said that no one will enter the local government.")</f>
        <v>In a video on the Internet, some people attacked the local government of Ifelodun, Ikirun and said that no one will enter the local government.</v>
      </c>
    </row>
    <row r="2057" ht="15.75" customHeight="1">
      <c r="A2057" s="2" t="s">
        <v>2016</v>
      </c>
      <c r="B2057" s="2" t="str">
        <f>IFERROR(__xludf.DUMMYFUNCTION("GOOGLETRANSLATE(A2057, ""yo"", ""en"")"),"Similarly, some people stood in front of Iwo local government and said that they will not allow anyone from the APC political party to enter.")</f>
        <v>Similarly, some people stood in front of Iwo local government and said that they will not allow anyone from the APC political party to enter.</v>
      </c>
    </row>
    <row r="2058" ht="15.75" customHeight="1">
      <c r="A2058" s="2" t="s">
        <v>2017</v>
      </c>
      <c r="B2058" s="2" t="str">
        <f>IFERROR(__xludf.DUMMYFUNCTION("GOOGLETRANSLATE(A2058, ""yo"", ""en"")"),"Yesterday, Sunday the 16th, Governor Ademola Adeleke came out and accused Gboyege Oyetola, who was the former governor of Osun state, that he wanted to force the removed president and councilor of the court to return to office.")</f>
        <v>Yesterday, Sunday the 16th, Governor Ademola Adeleke came out and accused Gboyege Oyetola, who was the former governor of Osun state, that he wanted to force the removed president and councilor of the court to return to office.</v>
      </c>
    </row>
    <row r="2059" ht="15.75" customHeight="1">
      <c r="A2059" s="2" t="s">
        <v>2018</v>
      </c>
      <c r="B2059" s="2" t="str">
        <f>IFERROR(__xludf.DUMMYFUNCTION("GOOGLETRANSLATE(A2059, ""yo"", ""en"")"),"However, Oyetola has told Adeleke that he did not respect the judgment of the Supreme Court in Akure that ordered the reinstatement of the chairpersons and councilors who are members of the APC political party.")</f>
        <v>However, Oyetola has told Adeleke that he did not respect the judgment of the Supreme Court in Akure that ordered the reinstatement of the chairpersons and councilors who are members of the APC political party.</v>
      </c>
    </row>
    <row r="2060" ht="15.75" customHeight="1">
      <c r="A2060" s="2" t="s">
        <v>2019</v>
      </c>
      <c r="B2060" s="2" t="str">
        <f>IFERROR(__xludf.DUMMYFUNCTION("GOOGLETRANSLATE(A2060, ""yo"", ""en"")"),"e BBC News Yoruba news on your WhatsApp Join us at End of podcast promotion Why are all the local governments in Osun state united as the local government workers in the state refused to show up for work after the local government workers' union, that is,"&amp;" NULGE directed the workers not to go to work.")</f>
        <v>e BBC News Yoruba news on your WhatsApp Join us at End of podcast promotion Why are all the local governments in Osun state united as the local government workers in the state refused to show up for work after the local government workers' union, that is, NULGE directed the workers not to go to work.</v>
      </c>
    </row>
    <row r="2061" ht="15.75" customHeight="1">
      <c r="A2061" s="2" t="s">
        <v>2020</v>
      </c>
      <c r="B2061" s="2" t="str">
        <f>IFERROR(__xludf.DUMMYFUNCTION("GOOGLETRANSLATE(A2061, ""yo"", ""en"")"),"This is not the end of the conflict between the All Progressives Congress, APC and the Peoples Democratic Party, PDP over the Supreme Court's ruling on the issue of local government chairmen in the state.")</f>
        <v>This is not the end of the conflict between the All Progressives Congress, APC and the Peoples Democratic Party, PDP over the Supreme Court's ruling on the issue of local government chairmen in the state.</v>
      </c>
    </row>
    <row r="2062" ht="15.75" customHeight="1">
      <c r="A2062" s="2" t="s">
        <v>2021</v>
      </c>
      <c r="B2062" s="2" t="str">
        <f>IFERROR(__xludf.DUMMYFUNCTION("GOOGLETRANSLATE(A2062, ""yo"", ""en"")"),"On Sunday, the 16th day of February, 2025, NULGE announced that workers should not go to work starting from Monday, the 17th day.")</f>
        <v>On Sunday, the 16th day of February, 2025, NULGE announced that workers should not go to work starting from Monday, the 17th day.</v>
      </c>
    </row>
    <row r="2063" ht="15.75" customHeight="1">
      <c r="A2063" s="2" t="s">
        <v>2022</v>
      </c>
      <c r="B2063" s="2" t="str">
        <f>IFERROR(__xludf.DUMMYFUNCTION("GOOGLETRANSLATE(A2063, ""yo"", ""en"")"),"The publication published by the president of NULGE in Osun state, Nathaniel Kehinde Ogungbangbe, has been published by those who are hearing about the conflicts between the APC and PDP political parties and which has been disturbing the hearts of the wor"&amp;"kers.")</f>
        <v>The publication published by the president of NULGE in Osun state, Nathaniel Kehinde Ogungbangbe, has been published by those who are hearing about the conflicts between the APC and PDP political parties and which has been disturbing the hearts of the workers.</v>
      </c>
    </row>
    <row r="2064" ht="15.75" customHeight="1">
      <c r="A2064" s="2" t="s">
        <v>2023</v>
      </c>
      <c r="B2064" s="2" t="str">
        <f>IFERROR(__xludf.DUMMYFUNCTION("GOOGLETRANSLATE(A2064, ""yo"", ""en"")"),"Ogungbangbe in NULGE does not interfere in political matters but they will not allow their members to work where there is no security.")</f>
        <v>Ogungbangbe in NULGE does not interfere in political matters but they will not allow their members to work where there is no security.</v>
      </c>
    </row>
    <row r="2065" ht="15.75" customHeight="1">
      <c r="A2065" s="2" t="s">
        <v>2024</v>
      </c>
      <c r="B2065" s="2" t="str">
        <f>IFERROR(__xludf.DUMMYFUNCTION("GOOGLETRANSLATE(A2065, ""yo"", ""en"")"),"NULGE then urged all political parties to follow the rule of law, to understand that local governments have become battlegrounds, and to understand that workers are at risk.")</f>
        <v>NULGE then urged all political parties to follow the rule of law, to understand that local governments have become battlegrounds, and to understand that workers are at risk.</v>
      </c>
    </row>
    <row r="2066" ht="15.75" customHeight="1">
      <c r="A2066" s="2" t="s">
        <v>2025</v>
      </c>
      <c r="B2066" s="2" t="str">
        <f>IFERROR(__xludf.DUMMYFUNCTION("GOOGLETRANSLATE(A2066, ""yo"", ""en"")"),"The publication is in line with the direction of the Nigerian Labor Union, NLC, that workers should not go to work until adequate security is in place for them.")</f>
        <v>The publication is in line with the direction of the Nigerian Labor Union, NLC, that workers should not go to work until adequate security is in place for them.</v>
      </c>
    </row>
    <row r="2067" ht="15.75" customHeight="1">
      <c r="A2067" s="2" t="s">
        <v>2026</v>
      </c>
      <c r="B2067" s="2" t="str">
        <f>IFERROR(__xludf.DUMMYFUNCTION("GOOGLETRANSLATE(A2067, ""yo"", ""en"")"),"They also urged security guards to ensure that they provide adequate protection for the lives and property of local government officials.")</f>
        <v>They also urged security guards to ensure that they provide adequate protection for the lives and property of local government officials.</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